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4_Forsch-Vorh\2_laufende\UBRA_ENABLE_2022_SM_AS\09_Veröffentlichungen\03_TiCu_Mixture\04_RawData\Table2_Particle_size_distribution\"/>
    </mc:Choice>
  </mc:AlternateContent>
  <xr:revisionPtr revIDLastSave="0" documentId="13_ncr:1_{334E6A1F-747C-4ADA-923C-79D9E06FCE37}" xr6:coauthVersionLast="36" xr6:coauthVersionMax="36" xr10:uidLastSave="{00000000-0000-0000-0000-000000000000}"/>
  <bookViews>
    <workbookView xWindow="0" yWindow="0" windowWidth="28800" windowHeight="12300" tabRatio="872" xr2:uid="{00000000-000D-0000-FFFF-FFFF00000000}"/>
  </bookViews>
  <sheets>
    <sheet name="Cu" sheetId="6" r:id="rId1"/>
    <sheet name="Ti64" sheetId="1" r:id="rId2"/>
    <sheet name="Ti64+10Cu" sheetId="14" r:id="rId3"/>
    <sheet name="Ti64+15Cu" sheetId="8" r:id="rId4"/>
    <sheet name="Ti64+20Cu" sheetId="9" r:id="rId5"/>
  </sheets>
  <calcPr calcId="191029"/>
</workbook>
</file>

<file path=xl/calcChain.xml><?xml version="1.0" encoding="utf-8"?>
<calcChain xmlns="http://schemas.openxmlformats.org/spreadsheetml/2006/main">
  <c r="AC3" i="1" l="1"/>
  <c r="AC2" i="1"/>
  <c r="AC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B4" i="6" l="1"/>
  <c r="AB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71" i="14" l="1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Z4" i="14"/>
  <c r="Z3" i="9"/>
  <c r="Z3" i="8"/>
  <c r="AA3" i="1"/>
  <c r="G4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Z63" i="9" s="1"/>
  <c r="G11" i="9"/>
  <c r="G10" i="9"/>
  <c r="G9" i="9"/>
  <c r="G8" i="9"/>
  <c r="G7" i="9"/>
  <c r="G6" i="9"/>
  <c r="G5" i="9"/>
  <c r="G4" i="9"/>
  <c r="G3" i="9"/>
  <c r="G2" i="9"/>
  <c r="Z65" i="9" s="1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Z51" i="8" s="1"/>
  <c r="G9" i="8"/>
  <c r="G8" i="8"/>
  <c r="G7" i="8"/>
  <c r="G6" i="8"/>
  <c r="G5" i="8"/>
  <c r="G4" i="8"/>
  <c r="G3" i="8"/>
  <c r="G2" i="8"/>
  <c r="Z65" i="8" s="1"/>
  <c r="Z33" i="6"/>
  <c r="Z7" i="6"/>
  <c r="AA12" i="1"/>
  <c r="AA10" i="1"/>
  <c r="Z15" i="8" l="1"/>
  <c r="AA69" i="1"/>
  <c r="AA57" i="1"/>
  <c r="AA45" i="1"/>
  <c r="AA33" i="1"/>
  <c r="AA21" i="1"/>
  <c r="AA9" i="1"/>
  <c r="Z66" i="6"/>
  <c r="Z54" i="6"/>
  <c r="Z42" i="6"/>
  <c r="Z30" i="6"/>
  <c r="Z18" i="6"/>
  <c r="Z6" i="6"/>
  <c r="Z6" i="8"/>
  <c r="Z18" i="8"/>
  <c r="Z30" i="8"/>
  <c r="Z42" i="8"/>
  <c r="Z54" i="8"/>
  <c r="Z66" i="8"/>
  <c r="Z6" i="9"/>
  <c r="Z18" i="9"/>
  <c r="Z30" i="9"/>
  <c r="Z42" i="9"/>
  <c r="Z54" i="9"/>
  <c r="Z66" i="9"/>
  <c r="AA48" i="1"/>
  <c r="Z57" i="6"/>
  <c r="AA68" i="1"/>
  <c r="AA56" i="1"/>
  <c r="AA44" i="1"/>
  <c r="AA32" i="1"/>
  <c r="AA20" i="1"/>
  <c r="AA8" i="1"/>
  <c r="Z65" i="6"/>
  <c r="Z53" i="6"/>
  <c r="Z41" i="6"/>
  <c r="Z29" i="6"/>
  <c r="Z17" i="6"/>
  <c r="Z5" i="6"/>
  <c r="Z7" i="8"/>
  <c r="Z19" i="8"/>
  <c r="Z31" i="8"/>
  <c r="Z43" i="8"/>
  <c r="Z55" i="8"/>
  <c r="Z67" i="8"/>
  <c r="Z7" i="9"/>
  <c r="Z19" i="9"/>
  <c r="Z31" i="9"/>
  <c r="Z43" i="9"/>
  <c r="Z55" i="9"/>
  <c r="Z67" i="9"/>
  <c r="Z69" i="6"/>
  <c r="Z39" i="8"/>
  <c r="AA67" i="1"/>
  <c r="AA55" i="1"/>
  <c r="AA43" i="1"/>
  <c r="AA31" i="1"/>
  <c r="AA19" i="1"/>
  <c r="AA7" i="1"/>
  <c r="Z64" i="6"/>
  <c r="Z52" i="6"/>
  <c r="Z40" i="6"/>
  <c r="Z28" i="6"/>
  <c r="Z16" i="6"/>
  <c r="Z4" i="6"/>
  <c r="Z8" i="8"/>
  <c r="Z20" i="8"/>
  <c r="Z32" i="8"/>
  <c r="Z44" i="8"/>
  <c r="Z56" i="8"/>
  <c r="Z68" i="8"/>
  <c r="Z8" i="9"/>
  <c r="Z20" i="9"/>
  <c r="Z32" i="9"/>
  <c r="Z44" i="9"/>
  <c r="AB2" i="9" s="1"/>
  <c r="Z56" i="9"/>
  <c r="Z68" i="9"/>
  <c r="AA60" i="1"/>
  <c r="Z9" i="6"/>
  <c r="Z27" i="9"/>
  <c r="AA66" i="1"/>
  <c r="AA54" i="1"/>
  <c r="AA42" i="1"/>
  <c r="AA30" i="1"/>
  <c r="AA18" i="1"/>
  <c r="AA6" i="1"/>
  <c r="Z63" i="6"/>
  <c r="Z51" i="6"/>
  <c r="Z39" i="6"/>
  <c r="Z27" i="6"/>
  <c r="Z15" i="6"/>
  <c r="Z9" i="8"/>
  <c r="Z21" i="8"/>
  <c r="Z33" i="8"/>
  <c r="Z45" i="8"/>
  <c r="AB2" i="8" s="1"/>
  <c r="Z57" i="8"/>
  <c r="Z69" i="8"/>
  <c r="Z9" i="9"/>
  <c r="Z21" i="9"/>
  <c r="Z33" i="9"/>
  <c r="Z45" i="9"/>
  <c r="Z57" i="9"/>
  <c r="Z69" i="9"/>
  <c r="AA24" i="1"/>
  <c r="Z63" i="8"/>
  <c r="AA65" i="1"/>
  <c r="AA53" i="1"/>
  <c r="AA41" i="1"/>
  <c r="AA29" i="1"/>
  <c r="AA17" i="1"/>
  <c r="AA5" i="1"/>
  <c r="Z62" i="6"/>
  <c r="Z50" i="6"/>
  <c r="Z38" i="6"/>
  <c r="Z26" i="6"/>
  <c r="Z14" i="6"/>
  <c r="Z10" i="8"/>
  <c r="Z22" i="8"/>
  <c r="Z34" i="8"/>
  <c r="Z46" i="8"/>
  <c r="Z58" i="8"/>
  <c r="Z70" i="8"/>
  <c r="Z10" i="9"/>
  <c r="Z22" i="9"/>
  <c r="Z34" i="9"/>
  <c r="Z46" i="9"/>
  <c r="Z58" i="9"/>
  <c r="Z70" i="9"/>
  <c r="AA36" i="1"/>
  <c r="Z27" i="8"/>
  <c r="AA64" i="1"/>
  <c r="AA52" i="1"/>
  <c r="AA40" i="1"/>
  <c r="AA28" i="1"/>
  <c r="AA16" i="1"/>
  <c r="AA4" i="1"/>
  <c r="Z61" i="6"/>
  <c r="Z49" i="6"/>
  <c r="Z37" i="6"/>
  <c r="Z25" i="6"/>
  <c r="Z13" i="6"/>
  <c r="Z11" i="8"/>
  <c r="Z23" i="8"/>
  <c r="Z35" i="8"/>
  <c r="Z47" i="8"/>
  <c r="Z59" i="8"/>
  <c r="Z71" i="8"/>
  <c r="Z11" i="9"/>
  <c r="Z23" i="9"/>
  <c r="Z35" i="9"/>
  <c r="Z47" i="9"/>
  <c r="Z59" i="9"/>
  <c r="Z71" i="9"/>
  <c r="Z15" i="9"/>
  <c r="AA63" i="1"/>
  <c r="AA51" i="1"/>
  <c r="AA39" i="1"/>
  <c r="AA27" i="1"/>
  <c r="AA15" i="1"/>
  <c r="Z3" i="6"/>
  <c r="Z60" i="6"/>
  <c r="Z48" i="6"/>
  <c r="Z36" i="6"/>
  <c r="Z24" i="6"/>
  <c r="Z12" i="6"/>
  <c r="Z12" i="8"/>
  <c r="Z24" i="8"/>
  <c r="Z36" i="8"/>
  <c r="Z48" i="8"/>
  <c r="Z60" i="8"/>
  <c r="Z12" i="9"/>
  <c r="Z24" i="9"/>
  <c r="Z36" i="9"/>
  <c r="Z48" i="9"/>
  <c r="Z60" i="9"/>
  <c r="AA62" i="1"/>
  <c r="AA50" i="1"/>
  <c r="AA38" i="1"/>
  <c r="AA26" i="1"/>
  <c r="AA14" i="1"/>
  <c r="Z71" i="6"/>
  <c r="Z59" i="6"/>
  <c r="Z47" i="6"/>
  <c r="Z35" i="6"/>
  <c r="Z23" i="6"/>
  <c r="Z11" i="6"/>
  <c r="Z13" i="8"/>
  <c r="Z25" i="8"/>
  <c r="Z37" i="8"/>
  <c r="Z49" i="8"/>
  <c r="AB4" i="8" s="1"/>
  <c r="Z61" i="8"/>
  <c r="Z13" i="9"/>
  <c r="Z25" i="9"/>
  <c r="Z37" i="9"/>
  <c r="Z49" i="9"/>
  <c r="Z61" i="9"/>
  <c r="Z45" i="6"/>
  <c r="Z39" i="9"/>
  <c r="AA61" i="1"/>
  <c r="AA49" i="1"/>
  <c r="AA37" i="1"/>
  <c r="AA25" i="1"/>
  <c r="AA13" i="1"/>
  <c r="Z70" i="6"/>
  <c r="Z58" i="6"/>
  <c r="Z46" i="6"/>
  <c r="Z34" i="6"/>
  <c r="Z22" i="6"/>
  <c r="Z10" i="6"/>
  <c r="Z14" i="8"/>
  <c r="Z26" i="8"/>
  <c r="Z38" i="8"/>
  <c r="Z50" i="8"/>
  <c r="Z62" i="8"/>
  <c r="Z14" i="9"/>
  <c r="Z26" i="9"/>
  <c r="Z38" i="9"/>
  <c r="Z50" i="9"/>
  <c r="Z62" i="9"/>
  <c r="Z21" i="6"/>
  <c r="Z51" i="9"/>
  <c r="AA71" i="1"/>
  <c r="AA59" i="1"/>
  <c r="AA47" i="1"/>
  <c r="AA35" i="1"/>
  <c r="AA23" i="1"/>
  <c r="AA11" i="1"/>
  <c r="Z68" i="6"/>
  <c r="Z56" i="6"/>
  <c r="Z44" i="6"/>
  <c r="Z32" i="6"/>
  <c r="Z20" i="6"/>
  <c r="Z8" i="6"/>
  <c r="Z4" i="8"/>
  <c r="Z16" i="8"/>
  <c r="Z28" i="8"/>
  <c r="Z40" i="8"/>
  <c r="Z52" i="8"/>
  <c r="Z64" i="8"/>
  <c r="Z4" i="9"/>
  <c r="Z16" i="9"/>
  <c r="Z28" i="9"/>
  <c r="Z40" i="9"/>
  <c r="Z52" i="9"/>
  <c r="Z64" i="9"/>
  <c r="AA70" i="1"/>
  <c r="AA58" i="1"/>
  <c r="AA46" i="1"/>
  <c r="AA34" i="1"/>
  <c r="AA22" i="1"/>
  <c r="Z67" i="6"/>
  <c r="Z55" i="6"/>
  <c r="Z43" i="6"/>
  <c r="Z31" i="6"/>
  <c r="Z19" i="6"/>
  <c r="Z5" i="8"/>
  <c r="Z17" i="8"/>
  <c r="Z29" i="8"/>
  <c r="Z41" i="8"/>
  <c r="Z53" i="8"/>
  <c r="Z5" i="9"/>
  <c r="Z17" i="9"/>
  <c r="Z29" i="9"/>
  <c r="Z41" i="9"/>
  <c r="Z53" i="9"/>
  <c r="Z69" i="14"/>
  <c r="Z10" i="14"/>
  <c r="Z22" i="14"/>
  <c r="Z34" i="14"/>
  <c r="Z46" i="14"/>
  <c r="Z70" i="14"/>
  <c r="Z5" i="14"/>
  <c r="Z23" i="14"/>
  <c r="Z35" i="14"/>
  <c r="Z53" i="14"/>
  <c r="Z59" i="14"/>
  <c r="Z6" i="14"/>
  <c r="Z12" i="14"/>
  <c r="Z18" i="14"/>
  <c r="Z24" i="14"/>
  <c r="Z30" i="14"/>
  <c r="Z36" i="14"/>
  <c r="Z42" i="14"/>
  <c r="Z48" i="14"/>
  <c r="Z54" i="14"/>
  <c r="Z60" i="14"/>
  <c r="Z66" i="14"/>
  <c r="Z28" i="14"/>
  <c r="Z64" i="14"/>
  <c r="Z11" i="14"/>
  <c r="Z41" i="14"/>
  <c r="Z71" i="14"/>
  <c r="Z16" i="14"/>
  <c r="Z40" i="14"/>
  <c r="Z52" i="14"/>
  <c r="Z58" i="14"/>
  <c r="Z17" i="14"/>
  <c r="Z29" i="14"/>
  <c r="Z47" i="14"/>
  <c r="AB3" i="14" s="1"/>
  <c r="Z65" i="14"/>
  <c r="Z7" i="14"/>
  <c r="Z13" i="14"/>
  <c r="Z19" i="14"/>
  <c r="Z25" i="14"/>
  <c r="Z31" i="14"/>
  <c r="Z37" i="14"/>
  <c r="Z43" i="14"/>
  <c r="Z49" i="14"/>
  <c r="Z55" i="14"/>
  <c r="Z61" i="14"/>
  <c r="Z67" i="14"/>
  <c r="Z26" i="14"/>
  <c r="Z62" i="14"/>
  <c r="Z3" i="14"/>
  <c r="Z8" i="14"/>
  <c r="Z14" i="14"/>
  <c r="Z20" i="14"/>
  <c r="Z32" i="14"/>
  <c r="Z38" i="14"/>
  <c r="Z44" i="14"/>
  <c r="Z50" i="14"/>
  <c r="AB4" i="14" s="1"/>
  <c r="Z56" i="14"/>
  <c r="Z68" i="14"/>
  <c r="Z9" i="14"/>
  <c r="Z15" i="14"/>
  <c r="Z21" i="14"/>
  <c r="Z27" i="14"/>
  <c r="Z33" i="14"/>
  <c r="Z39" i="14"/>
  <c r="Z45" i="14"/>
  <c r="AB2" i="14" s="1"/>
  <c r="Z51" i="14"/>
  <c r="Z57" i="14"/>
  <c r="Z63" i="14"/>
  <c r="AB3" i="6" l="1"/>
  <c r="AB3" i="9"/>
  <c r="AB4" i="9"/>
  <c r="AB3" i="8"/>
</calcChain>
</file>

<file path=xl/sharedStrings.xml><?xml version="1.0" encoding="utf-8"?>
<sst xmlns="http://schemas.openxmlformats.org/spreadsheetml/2006/main" count="150" uniqueCount="8">
  <si>
    <t>X</t>
  </si>
  <si>
    <t>Y</t>
  </si>
  <si>
    <t>MW</t>
  </si>
  <si>
    <t>kumulativ</t>
  </si>
  <si>
    <t>d10</t>
  </si>
  <si>
    <t>d50</t>
  </si>
  <si>
    <t>d90</t>
  </si>
  <si>
    <t>Interpolation Partikelgröße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</si>
</sst>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/>
    <xf numFmtId="0" fontId="0" fillId="33" borderId="11" xfId="0" applyFont="1" applyFill="1" applyBorder="1"/>
    <xf numFmtId="0" fontId="0" fillId="33" borderId="11" xfId="0" applyFont="1" applyFill="1" applyBorder="1" applyAlignment="1">
      <alignment wrapText="1"/>
    </xf>
    <xf numFmtId="2" fontId="0" fillId="33" borderId="11" xfId="0" applyNumberFormat="1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D9D9D9"/>
      <color rgb="FFBFBFBF"/>
      <color rgb="FFD9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1"/>
  <sheetViews>
    <sheetView tabSelected="1" zoomScale="70" zoomScaleNormal="70" workbookViewId="0">
      <selection activeCell="AB4" sqref="AB4"/>
    </sheetView>
  </sheetViews>
  <sheetFormatPr baseColWidth="10" defaultRowHeight="15" x14ac:dyDescent="0.25"/>
  <cols>
    <col min="1" max="1" width="8" bestFit="1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6" customWidth="1"/>
    <col min="8" max="8" width="2" bestFit="1" customWidth="1"/>
    <col min="9" max="9" width="1.85546875" bestFit="1" customWidth="1"/>
    <col min="10" max="10" width="2" bestFit="1" customWidth="1"/>
    <col min="11" max="11" width="1.85546875" bestFit="1" customWidth="1"/>
    <col min="12" max="12" width="2" bestFit="1" customWidth="1"/>
    <col min="13" max="13" width="1.85546875" bestFit="1" customWidth="1"/>
    <col min="14" max="14" width="2" bestFit="1" customWidth="1"/>
    <col min="15" max="15" width="1.85546875" bestFit="1" customWidth="1"/>
    <col min="16" max="16" width="2" bestFit="1" customWidth="1"/>
    <col min="17" max="17" width="1.85546875" bestFit="1" customWidth="1"/>
    <col min="18" max="18" width="2" bestFit="1" customWidth="1"/>
    <col min="19" max="19" width="1.85546875" bestFit="1" customWidth="1"/>
    <col min="20" max="20" width="2" bestFit="1" customWidth="1"/>
    <col min="21" max="21" width="1.85546875" bestFit="1" customWidth="1"/>
    <col min="22" max="22" width="2" bestFit="1" customWidth="1"/>
    <col min="23" max="23" width="1.85546875" bestFit="1" customWidth="1"/>
    <col min="24" max="24" width="2" bestFit="1" customWidth="1"/>
    <col min="25" max="25" width="1.85546875" bestFit="1" customWidth="1"/>
    <col min="28" max="28" width="13.85546875" bestFit="1" customWidth="1"/>
  </cols>
  <sheetData>
    <row r="1" spans="1:28" ht="30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2</v>
      </c>
      <c r="H1" s="2" t="s">
        <v>0</v>
      </c>
      <c r="I1" s="2" t="s">
        <v>1</v>
      </c>
      <c r="J1" s="2" t="s">
        <v>0</v>
      </c>
      <c r="K1" s="2" t="s">
        <v>1</v>
      </c>
      <c r="L1" s="2" t="s">
        <v>0</v>
      </c>
      <c r="M1" s="2" t="s">
        <v>1</v>
      </c>
      <c r="N1" s="2" t="s">
        <v>0</v>
      </c>
      <c r="O1" s="2" t="s">
        <v>1</v>
      </c>
      <c r="P1" s="2" t="s">
        <v>0</v>
      </c>
      <c r="Q1" s="2" t="s">
        <v>1</v>
      </c>
      <c r="R1" s="2" t="s">
        <v>0</v>
      </c>
      <c r="S1" s="2" t="s">
        <v>1</v>
      </c>
      <c r="T1" s="2" t="s">
        <v>0</v>
      </c>
      <c r="U1" s="2" t="s">
        <v>1</v>
      </c>
      <c r="V1" s="2" t="s">
        <v>0</v>
      </c>
      <c r="W1" s="2" t="s">
        <v>1</v>
      </c>
      <c r="X1" s="2" t="s">
        <v>0</v>
      </c>
      <c r="Y1" s="2" t="s">
        <v>1</v>
      </c>
      <c r="Z1" s="6" t="s">
        <v>3</v>
      </c>
      <c r="AA1" s="9"/>
      <c r="AB1" s="10" t="s">
        <v>7</v>
      </c>
    </row>
    <row r="2" spans="1:28" x14ac:dyDescent="0.25">
      <c r="A2" s="2">
        <v>1.2E-2</v>
      </c>
      <c r="B2" s="2">
        <v>0</v>
      </c>
      <c r="C2" s="2">
        <v>1.2E-2</v>
      </c>
      <c r="D2" s="2">
        <v>0</v>
      </c>
      <c r="E2" s="2">
        <v>1.2E-2</v>
      </c>
      <c r="F2" s="2">
        <v>0</v>
      </c>
      <c r="G2" s="2">
        <f>AVERAGE(B2,D2,F2)</f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3" t="s">
        <v>4</v>
      </c>
      <c r="AB2" s="11">
        <f>E43+(10-Z43)*(E44-E43)/(Z44-Z43)</f>
        <v>14.709163265306122</v>
      </c>
    </row>
    <row r="3" spans="1:28" x14ac:dyDescent="0.25">
      <c r="A3" s="2">
        <v>1.4E-2</v>
      </c>
      <c r="B3" s="2">
        <v>0</v>
      </c>
      <c r="C3" s="2">
        <v>1.4E-2</v>
      </c>
      <c r="D3" s="2">
        <v>0</v>
      </c>
      <c r="E3" s="2">
        <v>1.4E-2</v>
      </c>
      <c r="F3" s="2">
        <v>0</v>
      </c>
      <c r="G3" s="2">
        <f t="shared" ref="G3:G66" si="0">AVERAGE(B3,D3,F3)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f>SUM(G$2:$G3)</f>
        <v>0</v>
      </c>
      <c r="AA3" s="12" t="s">
        <v>5</v>
      </c>
      <c r="AB3" s="11">
        <f>E48+(50-Z48)*(E49-E48)/(Z49-Z48)</f>
        <v>34.426745302713989</v>
      </c>
    </row>
    <row r="4" spans="1:28" x14ac:dyDescent="0.25">
      <c r="A4" s="2">
        <v>1.7000000000000001E-2</v>
      </c>
      <c r="B4" s="2">
        <v>0</v>
      </c>
      <c r="C4" s="2">
        <v>1.7000000000000001E-2</v>
      </c>
      <c r="D4" s="2">
        <v>0</v>
      </c>
      <c r="E4" s="2">
        <v>1.7000000000000001E-2</v>
      </c>
      <c r="F4" s="2">
        <v>0</v>
      </c>
      <c r="G4" s="2">
        <f t="shared" si="0"/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f>SUM(G$2:$G4)</f>
        <v>0</v>
      </c>
      <c r="AA4" s="12" t="s">
        <v>6</v>
      </c>
      <c r="AB4" s="11">
        <f>E50+(90-Z50)*(E51-E50)/(Z51-Z50)</f>
        <v>48.697050840829085</v>
      </c>
    </row>
    <row r="5" spans="1:28" x14ac:dyDescent="0.25">
      <c r="A5" s="2">
        <v>0.02</v>
      </c>
      <c r="B5" s="2">
        <v>0</v>
      </c>
      <c r="C5" s="2">
        <v>0.02</v>
      </c>
      <c r="D5" s="2">
        <v>0</v>
      </c>
      <c r="E5" s="2">
        <v>0.02</v>
      </c>
      <c r="F5" s="2">
        <v>0</v>
      </c>
      <c r="G5" s="2">
        <f t="shared" si="0"/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f>SUM(G$2:$G5)</f>
        <v>0</v>
      </c>
    </row>
    <row r="6" spans="1:28" x14ac:dyDescent="0.25">
      <c r="A6" s="2">
        <v>2.3E-2</v>
      </c>
      <c r="B6" s="2">
        <v>0</v>
      </c>
      <c r="C6" s="2">
        <v>2.3E-2</v>
      </c>
      <c r="D6" s="2">
        <v>0</v>
      </c>
      <c r="E6" s="2">
        <v>2.3E-2</v>
      </c>
      <c r="F6" s="2">
        <v>0</v>
      </c>
      <c r="G6" s="2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f>SUM(G$2:$G6)</f>
        <v>0</v>
      </c>
    </row>
    <row r="7" spans="1:28" x14ac:dyDescent="0.25">
      <c r="A7" s="2">
        <v>2.8000000000000001E-2</v>
      </c>
      <c r="B7" s="2">
        <v>0</v>
      </c>
      <c r="C7" s="2">
        <v>2.8000000000000001E-2</v>
      </c>
      <c r="D7" s="2">
        <v>0</v>
      </c>
      <c r="E7" s="2">
        <v>2.8000000000000001E-2</v>
      </c>
      <c r="F7" s="2">
        <v>0</v>
      </c>
      <c r="G7" s="2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f>SUM(G$2:$G7)</f>
        <v>0</v>
      </c>
    </row>
    <row r="8" spans="1:28" x14ac:dyDescent="0.25">
      <c r="A8" s="2">
        <v>3.3000000000000002E-2</v>
      </c>
      <c r="B8" s="2">
        <v>0</v>
      </c>
      <c r="C8" s="2">
        <v>3.3000000000000002E-2</v>
      </c>
      <c r="D8" s="2">
        <v>0</v>
      </c>
      <c r="E8" s="2">
        <v>3.3000000000000002E-2</v>
      </c>
      <c r="F8" s="2">
        <v>0</v>
      </c>
      <c r="G8" s="2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f>SUM(G$2:$G8)</f>
        <v>0</v>
      </c>
    </row>
    <row r="9" spans="1:28" x14ac:dyDescent="0.25">
      <c r="A9" s="2">
        <v>3.9E-2</v>
      </c>
      <c r="B9" s="2">
        <v>0</v>
      </c>
      <c r="C9" s="2">
        <v>3.9E-2</v>
      </c>
      <c r="D9" s="2">
        <v>0</v>
      </c>
      <c r="E9" s="2">
        <v>3.9E-2</v>
      </c>
      <c r="F9" s="2">
        <v>0</v>
      </c>
      <c r="G9" s="2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f>SUM(G$2:$G9)</f>
        <v>0</v>
      </c>
    </row>
    <row r="10" spans="1:28" x14ac:dyDescent="0.25">
      <c r="A10" s="2">
        <v>4.7E-2</v>
      </c>
      <c r="B10" s="2">
        <v>0</v>
      </c>
      <c r="C10" s="2">
        <v>4.7E-2</v>
      </c>
      <c r="D10" s="2">
        <v>0</v>
      </c>
      <c r="E10" s="2">
        <v>4.7E-2</v>
      </c>
      <c r="F10" s="2">
        <v>0</v>
      </c>
      <c r="G10" s="2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f>SUM(G$2:$G10)</f>
        <v>0</v>
      </c>
    </row>
    <row r="11" spans="1:28" x14ac:dyDescent="0.25">
      <c r="A11" s="2">
        <v>5.6000000000000001E-2</v>
      </c>
      <c r="B11" s="2">
        <v>0</v>
      </c>
      <c r="C11" s="2">
        <v>5.6000000000000001E-2</v>
      </c>
      <c r="D11" s="2">
        <v>0</v>
      </c>
      <c r="E11" s="2">
        <v>5.6000000000000001E-2</v>
      </c>
      <c r="F11" s="2">
        <v>0</v>
      </c>
      <c r="G11" s="2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f>SUM(G$2:$G11)</f>
        <v>0</v>
      </c>
    </row>
    <row r="12" spans="1:28" x14ac:dyDescent="0.25">
      <c r="A12" s="2">
        <v>6.6000000000000003E-2</v>
      </c>
      <c r="B12" s="2">
        <v>0</v>
      </c>
      <c r="C12" s="2">
        <v>6.6000000000000003E-2</v>
      </c>
      <c r="D12" s="2">
        <v>0</v>
      </c>
      <c r="E12" s="2">
        <v>6.6000000000000003E-2</v>
      </c>
      <c r="F12" s="2">
        <v>0</v>
      </c>
      <c r="G12" s="2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f>SUM(G$2:$G12)</f>
        <v>0</v>
      </c>
    </row>
    <row r="13" spans="1:28" x14ac:dyDescent="0.25">
      <c r="A13" s="2">
        <v>7.9000000000000001E-2</v>
      </c>
      <c r="B13" s="2">
        <v>0</v>
      </c>
      <c r="C13" s="2">
        <v>7.9000000000000001E-2</v>
      </c>
      <c r="D13" s="2">
        <v>0</v>
      </c>
      <c r="E13" s="2">
        <v>7.9000000000000001E-2</v>
      </c>
      <c r="F13" s="2">
        <v>0</v>
      </c>
      <c r="G13" s="2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f>SUM(G$2:$G13)</f>
        <v>0</v>
      </c>
    </row>
    <row r="14" spans="1:28" x14ac:dyDescent="0.25">
      <c r="A14" s="2">
        <v>9.4E-2</v>
      </c>
      <c r="B14" s="2">
        <v>0</v>
      </c>
      <c r="C14" s="2">
        <v>9.4E-2</v>
      </c>
      <c r="D14" s="2">
        <v>0</v>
      </c>
      <c r="E14" s="2">
        <v>9.4E-2</v>
      </c>
      <c r="F14" s="2">
        <v>0</v>
      </c>
      <c r="G14" s="2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f>SUM(G$2:$G14)</f>
        <v>0</v>
      </c>
    </row>
    <row r="15" spans="1:28" x14ac:dyDescent="0.25">
      <c r="A15" s="2">
        <v>0.112</v>
      </c>
      <c r="B15" s="2">
        <v>0</v>
      </c>
      <c r="C15" s="2">
        <v>0.112</v>
      </c>
      <c r="D15" s="2">
        <v>0</v>
      </c>
      <c r="E15" s="2">
        <v>0.112</v>
      </c>
      <c r="F15" s="2">
        <v>0</v>
      </c>
      <c r="G15" s="2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f>SUM(G$2:$G15)</f>
        <v>0</v>
      </c>
    </row>
    <row r="16" spans="1:28" x14ac:dyDescent="0.25">
      <c r="A16" s="2">
        <v>0.13300000000000001</v>
      </c>
      <c r="B16" s="2">
        <v>0</v>
      </c>
      <c r="C16" s="2">
        <v>0.13300000000000001</v>
      </c>
      <c r="D16" s="2">
        <v>0</v>
      </c>
      <c r="E16" s="2">
        <v>0.13300000000000001</v>
      </c>
      <c r="F16" s="2">
        <v>0</v>
      </c>
      <c r="G16" s="2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f>SUM(G$2:$G16)</f>
        <v>0</v>
      </c>
    </row>
    <row r="17" spans="1:26" x14ac:dyDescent="0.25">
      <c r="A17" s="2">
        <v>0.158</v>
      </c>
      <c r="B17" s="2">
        <v>0</v>
      </c>
      <c r="C17" s="2">
        <v>0.158</v>
      </c>
      <c r="D17" s="2">
        <v>0</v>
      </c>
      <c r="E17" s="2">
        <v>0.158</v>
      </c>
      <c r="F17" s="2">
        <v>0</v>
      </c>
      <c r="G17" s="2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f>SUM(G$2:$G17)</f>
        <v>0</v>
      </c>
    </row>
    <row r="18" spans="1:26" x14ac:dyDescent="0.25">
      <c r="A18" s="2">
        <v>0.187</v>
      </c>
      <c r="B18" s="2">
        <v>0</v>
      </c>
      <c r="C18" s="2">
        <v>0.187</v>
      </c>
      <c r="D18" s="2">
        <v>0</v>
      </c>
      <c r="E18" s="2">
        <v>0.187</v>
      </c>
      <c r="F18" s="2">
        <v>0</v>
      </c>
      <c r="G18" s="2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f>SUM(G$2:$G18)</f>
        <v>0</v>
      </c>
    </row>
    <row r="19" spans="1:26" x14ac:dyDescent="0.25">
      <c r="A19" s="2">
        <v>0.223</v>
      </c>
      <c r="B19" s="2">
        <v>0</v>
      </c>
      <c r="C19" s="2">
        <v>0.223</v>
      </c>
      <c r="D19" s="2">
        <v>0</v>
      </c>
      <c r="E19" s="2">
        <v>0.223</v>
      </c>
      <c r="F19" s="2">
        <v>0</v>
      </c>
      <c r="G19" s="2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f>SUM(G$2:$G19)</f>
        <v>0</v>
      </c>
    </row>
    <row r="20" spans="1:26" x14ac:dyDescent="0.25">
      <c r="A20" s="2">
        <v>0.26500000000000001</v>
      </c>
      <c r="B20" s="2">
        <v>0</v>
      </c>
      <c r="C20" s="2">
        <v>0.26500000000000001</v>
      </c>
      <c r="D20" s="2">
        <v>0</v>
      </c>
      <c r="E20" s="2">
        <v>0.26500000000000001</v>
      </c>
      <c r="F20" s="2">
        <v>0</v>
      </c>
      <c r="G20" s="2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f>SUM(G$2:$G20)</f>
        <v>0</v>
      </c>
    </row>
    <row r="21" spans="1:26" x14ac:dyDescent="0.25">
      <c r="A21" s="2">
        <v>0.315</v>
      </c>
      <c r="B21" s="2">
        <v>0</v>
      </c>
      <c r="C21" s="2">
        <v>0.315</v>
      </c>
      <c r="D21" s="2">
        <v>0</v>
      </c>
      <c r="E21" s="2">
        <v>0.315</v>
      </c>
      <c r="F21" s="2">
        <v>0</v>
      </c>
      <c r="G21" s="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f>SUM(G$2:$G21)</f>
        <v>0</v>
      </c>
    </row>
    <row r="22" spans="1:26" x14ac:dyDescent="0.25">
      <c r="A22" s="2">
        <v>0.375</v>
      </c>
      <c r="B22" s="2">
        <v>0</v>
      </c>
      <c r="C22" s="2">
        <v>0.375</v>
      </c>
      <c r="D22" s="2">
        <v>0</v>
      </c>
      <c r="E22" s="2">
        <v>0.375</v>
      </c>
      <c r="F22" s="2">
        <v>0</v>
      </c>
      <c r="G22" s="2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f>SUM(G$2:$G22)</f>
        <v>0</v>
      </c>
    </row>
    <row r="23" spans="1:26" x14ac:dyDescent="0.25">
      <c r="A23" s="2">
        <v>0.44600000000000001</v>
      </c>
      <c r="B23" s="2">
        <v>0</v>
      </c>
      <c r="C23" s="2">
        <v>0.44600000000000001</v>
      </c>
      <c r="D23" s="2">
        <v>0</v>
      </c>
      <c r="E23" s="2">
        <v>0.44600000000000001</v>
      </c>
      <c r="F23" s="2">
        <v>0</v>
      </c>
      <c r="G23" s="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f>SUM(G$2:$G23)</f>
        <v>0</v>
      </c>
    </row>
    <row r="24" spans="1:26" x14ac:dyDescent="0.25">
      <c r="A24" s="2">
        <v>0.53</v>
      </c>
      <c r="B24" s="2">
        <v>0</v>
      </c>
      <c r="C24" s="2">
        <v>0.53</v>
      </c>
      <c r="D24" s="2">
        <v>0</v>
      </c>
      <c r="E24" s="2">
        <v>0.53</v>
      </c>
      <c r="F24" s="2">
        <v>0</v>
      </c>
      <c r="G24" s="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f>SUM(G$2:$G24)</f>
        <v>0</v>
      </c>
    </row>
    <row r="25" spans="1:26" x14ac:dyDescent="0.25">
      <c r="A25" s="2">
        <v>0.63100000000000001</v>
      </c>
      <c r="B25" s="2">
        <v>0</v>
      </c>
      <c r="C25" s="2">
        <v>0.63100000000000001</v>
      </c>
      <c r="D25" s="2">
        <v>0</v>
      </c>
      <c r="E25" s="2">
        <v>0.63100000000000001</v>
      </c>
      <c r="F25" s="2">
        <v>0</v>
      </c>
      <c r="G25" s="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f>SUM(G$2:$G25)</f>
        <v>0</v>
      </c>
    </row>
    <row r="26" spans="1:26" x14ac:dyDescent="0.25">
      <c r="A26" s="2">
        <v>0.75</v>
      </c>
      <c r="B26" s="2">
        <v>0</v>
      </c>
      <c r="C26" s="2">
        <v>0.75</v>
      </c>
      <c r="D26" s="2">
        <v>0</v>
      </c>
      <c r="E26" s="2">
        <v>0.75</v>
      </c>
      <c r="F26" s="2">
        <v>0</v>
      </c>
      <c r="G26" s="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f>SUM(G$2:$G26)</f>
        <v>0</v>
      </c>
    </row>
    <row r="27" spans="1:26" x14ac:dyDescent="0.25">
      <c r="A27" s="2">
        <v>0.89100000000000001</v>
      </c>
      <c r="B27" s="2">
        <v>0</v>
      </c>
      <c r="C27" s="2">
        <v>0.89100000000000001</v>
      </c>
      <c r="D27" s="2">
        <v>0</v>
      </c>
      <c r="E27" s="2">
        <v>0.89100000000000001</v>
      </c>
      <c r="F27" s="2">
        <v>0</v>
      </c>
      <c r="G27" s="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f>SUM(G$2:$G27)</f>
        <v>0</v>
      </c>
    </row>
    <row r="28" spans="1:26" x14ac:dyDescent="0.25">
      <c r="A28" s="2">
        <v>1.06</v>
      </c>
      <c r="B28" s="2">
        <v>0</v>
      </c>
      <c r="C28" s="2">
        <v>1.06</v>
      </c>
      <c r="D28" s="2">
        <v>0</v>
      </c>
      <c r="E28" s="2">
        <v>1.06</v>
      </c>
      <c r="F28" s="2">
        <v>0</v>
      </c>
      <c r="G28" s="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f>SUM(G$2:$G28)</f>
        <v>0</v>
      </c>
    </row>
    <row r="29" spans="1:26" x14ac:dyDescent="0.25">
      <c r="A29" s="2">
        <v>1.2609999999999999</v>
      </c>
      <c r="B29" s="2">
        <v>0</v>
      </c>
      <c r="C29" s="2">
        <v>1.2609999999999999</v>
      </c>
      <c r="D29" s="2">
        <v>0</v>
      </c>
      <c r="E29" s="2">
        <v>1.2609999999999999</v>
      </c>
      <c r="F29" s="2">
        <v>0</v>
      </c>
      <c r="G29" s="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f>SUM(G$2:$G29)</f>
        <v>0</v>
      </c>
    </row>
    <row r="30" spans="1:26" x14ac:dyDescent="0.25">
      <c r="A30" s="2">
        <v>1.4990000000000001</v>
      </c>
      <c r="B30" s="2">
        <v>0</v>
      </c>
      <c r="C30" s="2">
        <v>1.4990000000000001</v>
      </c>
      <c r="D30" s="2">
        <v>0</v>
      </c>
      <c r="E30" s="2">
        <v>1.4990000000000001</v>
      </c>
      <c r="F30" s="2">
        <v>0</v>
      </c>
      <c r="G30" s="2">
        <f t="shared" si="0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f>SUM(G$2:$G30)</f>
        <v>0</v>
      </c>
    </row>
    <row r="31" spans="1:26" x14ac:dyDescent="0.25">
      <c r="A31" s="2">
        <v>1.784</v>
      </c>
      <c r="B31" s="2">
        <v>0</v>
      </c>
      <c r="C31" s="2">
        <v>1.784</v>
      </c>
      <c r="D31" s="2">
        <v>0</v>
      </c>
      <c r="E31" s="2">
        <v>1.784</v>
      </c>
      <c r="F31" s="2">
        <v>0</v>
      </c>
      <c r="G31" s="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f>SUM(G$2:$G31)</f>
        <v>0</v>
      </c>
    </row>
    <row r="32" spans="1:26" x14ac:dyDescent="0.25">
      <c r="A32" s="2">
        <v>2.121</v>
      </c>
      <c r="B32" s="2">
        <v>0</v>
      </c>
      <c r="C32" s="2">
        <v>2.121</v>
      </c>
      <c r="D32" s="2">
        <v>0</v>
      </c>
      <c r="E32" s="2">
        <v>2.121</v>
      </c>
      <c r="F32" s="2">
        <v>0</v>
      </c>
      <c r="G32" s="2">
        <f t="shared" si="0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f>SUM(G$2:$G32)</f>
        <v>0</v>
      </c>
    </row>
    <row r="33" spans="1:26" x14ac:dyDescent="0.25">
      <c r="A33" s="2">
        <v>2.5219999999999998</v>
      </c>
      <c r="B33" s="2">
        <v>0</v>
      </c>
      <c r="C33" s="2">
        <v>2.5219999999999998</v>
      </c>
      <c r="D33" s="2">
        <v>0</v>
      </c>
      <c r="E33" s="2">
        <v>2.5219999999999998</v>
      </c>
      <c r="F33" s="2">
        <v>0</v>
      </c>
      <c r="G33" s="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f>SUM(G$2:$G33)</f>
        <v>0</v>
      </c>
    </row>
    <row r="34" spans="1:26" x14ac:dyDescent="0.25">
      <c r="A34" s="2">
        <v>2.9990000000000001</v>
      </c>
      <c r="B34" s="2">
        <v>0</v>
      </c>
      <c r="C34" s="2">
        <v>2.9990000000000001</v>
      </c>
      <c r="D34" s="2">
        <v>0</v>
      </c>
      <c r="E34" s="2">
        <v>2.9990000000000001</v>
      </c>
      <c r="F34" s="2">
        <v>0</v>
      </c>
      <c r="G34" s="2">
        <f t="shared" si="0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f>SUM(G$2:$G34)</f>
        <v>0</v>
      </c>
    </row>
    <row r="35" spans="1:26" x14ac:dyDescent="0.25">
      <c r="A35" s="2">
        <v>3.5670000000000002</v>
      </c>
      <c r="B35" s="2">
        <v>0</v>
      </c>
      <c r="C35" s="2">
        <v>3.5670000000000002</v>
      </c>
      <c r="D35" s="2">
        <v>0</v>
      </c>
      <c r="E35" s="2">
        <v>3.5670000000000002</v>
      </c>
      <c r="F35" s="2">
        <v>0</v>
      </c>
      <c r="G35" s="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f>SUM(G$2:$G35)</f>
        <v>0</v>
      </c>
    </row>
    <row r="36" spans="1:26" x14ac:dyDescent="0.25">
      <c r="A36" s="2">
        <v>4.2460000000000004</v>
      </c>
      <c r="B36" s="2">
        <v>0</v>
      </c>
      <c r="C36" s="2">
        <v>4.2460000000000004</v>
      </c>
      <c r="D36" s="2">
        <v>0</v>
      </c>
      <c r="E36" s="2">
        <v>4.2460000000000004</v>
      </c>
      <c r="F36" s="2">
        <v>0</v>
      </c>
      <c r="G36" s="2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f>SUM(G$2:$G36)</f>
        <v>0</v>
      </c>
    </row>
    <row r="37" spans="1:26" x14ac:dyDescent="0.25">
      <c r="A37" s="2">
        <v>5.0439999999999996</v>
      </c>
      <c r="B37" s="2">
        <v>0</v>
      </c>
      <c r="C37" s="2">
        <v>5.0439999999999996</v>
      </c>
      <c r="D37" s="2">
        <v>0</v>
      </c>
      <c r="E37" s="2">
        <v>5.0439999999999996</v>
      </c>
      <c r="F37" s="2">
        <v>0</v>
      </c>
      <c r="G37" s="2">
        <f t="shared" si="0"/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f>SUM(G$2:$G37)</f>
        <v>0</v>
      </c>
    </row>
    <row r="38" spans="1:26" x14ac:dyDescent="0.25">
      <c r="A38" s="2">
        <v>5.9969999999999999</v>
      </c>
      <c r="B38" s="2">
        <v>0</v>
      </c>
      <c r="C38" s="2">
        <v>5.9969999999999999</v>
      </c>
      <c r="D38" s="2">
        <v>0</v>
      </c>
      <c r="E38" s="2">
        <v>5.9969999999999999</v>
      </c>
      <c r="F38" s="2">
        <v>0.39</v>
      </c>
      <c r="G38" s="2">
        <f t="shared" si="0"/>
        <v>0.13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f>SUM(G$2:$G38)</f>
        <v>0.13</v>
      </c>
    </row>
    <row r="39" spans="1:26" x14ac:dyDescent="0.25">
      <c r="A39" s="2">
        <v>7.1340000000000003</v>
      </c>
      <c r="B39" s="2">
        <v>0.56999999999999995</v>
      </c>
      <c r="C39" s="2">
        <v>7.1340000000000003</v>
      </c>
      <c r="D39" s="2">
        <v>0.56000000000000005</v>
      </c>
      <c r="E39" s="2">
        <v>7.1340000000000003</v>
      </c>
      <c r="F39" s="2">
        <v>0.73</v>
      </c>
      <c r="G39" s="2">
        <f t="shared" si="0"/>
        <v>0.62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f>SUM(G$2:$G39)</f>
        <v>0.75</v>
      </c>
    </row>
    <row r="40" spans="1:26" x14ac:dyDescent="0.25">
      <c r="A40" s="2">
        <v>8.4819999999999993</v>
      </c>
      <c r="B40" s="2">
        <v>1.08</v>
      </c>
      <c r="C40" s="2">
        <v>8.4819999999999993</v>
      </c>
      <c r="D40" s="2">
        <v>1.17</v>
      </c>
      <c r="E40" s="2">
        <v>8.4819999999999993</v>
      </c>
      <c r="F40" s="2">
        <v>1.21</v>
      </c>
      <c r="G40" s="2">
        <f t="shared" si="0"/>
        <v>1.1533333333333333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f>SUM(G$2:$G40)</f>
        <v>1.9033333333333333</v>
      </c>
    </row>
    <row r="41" spans="1:26" x14ac:dyDescent="0.25">
      <c r="A41" s="2">
        <v>10.087</v>
      </c>
      <c r="B41" s="2">
        <v>1.8</v>
      </c>
      <c r="C41" s="2">
        <v>10.087</v>
      </c>
      <c r="D41" s="2">
        <v>1.97</v>
      </c>
      <c r="E41" s="2">
        <v>10.087</v>
      </c>
      <c r="F41" s="2">
        <v>1.79</v>
      </c>
      <c r="G41" s="2">
        <f t="shared" si="0"/>
        <v>1.8533333333333335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f>SUM(G$2:$G41)</f>
        <v>3.7566666666666668</v>
      </c>
    </row>
    <row r="42" spans="1:26" x14ac:dyDescent="0.25">
      <c r="A42" s="2">
        <v>11.994</v>
      </c>
      <c r="B42" s="2">
        <v>2.65</v>
      </c>
      <c r="C42" s="2">
        <v>11.994</v>
      </c>
      <c r="D42" s="2">
        <v>2.68</v>
      </c>
      <c r="E42" s="2">
        <v>11.994</v>
      </c>
      <c r="F42" s="2">
        <v>2.38</v>
      </c>
      <c r="G42" s="2">
        <f t="shared" si="0"/>
        <v>2.57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f>SUM(G$2:$G42)</f>
        <v>6.3266666666666662</v>
      </c>
    </row>
    <row r="43" spans="1:26" x14ac:dyDescent="0.25">
      <c r="A43" s="2">
        <v>14.269</v>
      </c>
      <c r="B43" s="2">
        <v>3.42</v>
      </c>
      <c r="C43" s="2">
        <v>14.269</v>
      </c>
      <c r="D43" s="2">
        <v>3.07</v>
      </c>
      <c r="E43" s="2">
        <v>14.269</v>
      </c>
      <c r="F43" s="2">
        <v>2.85</v>
      </c>
      <c r="G43" s="2">
        <f t="shared" si="0"/>
        <v>3.1133333333333333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f>SUM(G$2:$G43)</f>
        <v>9.44</v>
      </c>
    </row>
    <row r="44" spans="1:26" x14ac:dyDescent="0.25">
      <c r="A44" s="2">
        <v>16.965</v>
      </c>
      <c r="B44" s="2">
        <v>3.89</v>
      </c>
      <c r="C44" s="2">
        <v>16.965</v>
      </c>
      <c r="D44" s="2">
        <v>3.2</v>
      </c>
      <c r="E44" s="2">
        <v>16.965</v>
      </c>
      <c r="F44" s="2">
        <v>3.2</v>
      </c>
      <c r="G44" s="2">
        <f t="shared" si="0"/>
        <v>3.4299999999999997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f>SUM(G$2:$G44)</f>
        <v>12.87</v>
      </c>
    </row>
    <row r="45" spans="1:26" x14ac:dyDescent="0.25">
      <c r="A45" s="2">
        <v>20.173999999999999</v>
      </c>
      <c r="B45" s="2">
        <v>4.0599999999999996</v>
      </c>
      <c r="C45" s="2">
        <v>20.173999999999999</v>
      </c>
      <c r="D45" s="2">
        <v>3.64</v>
      </c>
      <c r="E45" s="2">
        <v>20.173999999999999</v>
      </c>
      <c r="F45" s="2">
        <v>3.76</v>
      </c>
      <c r="G45" s="2">
        <f t="shared" si="0"/>
        <v>3.82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f>SUM(G$2:$G45)</f>
        <v>16.689999999999998</v>
      </c>
    </row>
    <row r="46" spans="1:26" x14ac:dyDescent="0.25">
      <c r="A46" s="2">
        <v>23.989000000000001</v>
      </c>
      <c r="B46" s="2">
        <v>4.91</v>
      </c>
      <c r="C46" s="2">
        <v>23.989000000000001</v>
      </c>
      <c r="D46" s="2">
        <v>5.47</v>
      </c>
      <c r="E46" s="2">
        <v>23.989000000000001</v>
      </c>
      <c r="F46" s="2">
        <v>5.41</v>
      </c>
      <c r="G46" s="2">
        <f t="shared" si="0"/>
        <v>5.2633333333333328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f>SUM(G$2:$G46)</f>
        <v>21.95333333333333</v>
      </c>
    </row>
    <row r="47" spans="1:26" x14ac:dyDescent="0.25">
      <c r="A47" s="2">
        <v>28.527999999999999</v>
      </c>
      <c r="B47" s="2">
        <v>9.25</v>
      </c>
      <c r="C47" s="2">
        <v>28.527999999999999</v>
      </c>
      <c r="D47" s="2">
        <v>9.81</v>
      </c>
      <c r="E47" s="2">
        <v>28.527999999999999</v>
      </c>
      <c r="F47" s="2">
        <v>9.3800000000000008</v>
      </c>
      <c r="G47" s="2">
        <f t="shared" si="0"/>
        <v>9.4800000000000022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f>SUM(G$2:$G47)</f>
        <v>31.43333333333333</v>
      </c>
    </row>
    <row r="48" spans="1:26" x14ac:dyDescent="0.25">
      <c r="A48" s="2">
        <v>33.929000000000002</v>
      </c>
      <c r="B48" s="2">
        <v>17.79</v>
      </c>
      <c r="C48" s="2">
        <v>33.929000000000002</v>
      </c>
      <c r="D48" s="2">
        <v>16.649999999999999</v>
      </c>
      <c r="E48" s="2">
        <v>33.929000000000002</v>
      </c>
      <c r="F48" s="2">
        <v>16.059999999999999</v>
      </c>
      <c r="G48" s="2">
        <f t="shared" si="0"/>
        <v>16.833333333333332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f>SUM(G$2:$G48)</f>
        <v>48.266666666666666</v>
      </c>
    </row>
    <row r="49" spans="1:26" x14ac:dyDescent="0.25">
      <c r="A49" s="2">
        <v>40.347999999999999</v>
      </c>
      <c r="B49" s="2">
        <v>22.68</v>
      </c>
      <c r="C49" s="2">
        <v>40.347999999999999</v>
      </c>
      <c r="D49" s="2">
        <v>22.22</v>
      </c>
      <c r="E49" s="2">
        <v>40.347999999999999</v>
      </c>
      <c r="F49" s="2">
        <v>22.16</v>
      </c>
      <c r="G49" s="2">
        <f t="shared" si="0"/>
        <v>22.353333333333335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f>SUM(G$2:$G49)</f>
        <v>70.62</v>
      </c>
    </row>
    <row r="50" spans="1:26" x14ac:dyDescent="0.25">
      <c r="A50" s="2">
        <v>47.987000000000002</v>
      </c>
      <c r="B50" s="2">
        <v>17.34</v>
      </c>
      <c r="C50" s="2">
        <v>47.987000000000002</v>
      </c>
      <c r="D50" s="2">
        <v>19.07</v>
      </c>
      <c r="E50" s="2">
        <v>47.987000000000002</v>
      </c>
      <c r="F50" s="2">
        <v>19.73</v>
      </c>
      <c r="G50" s="2">
        <f t="shared" si="0"/>
        <v>18.713333333333335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f>SUM(G$2:$G50)</f>
        <v>89.333333333333343</v>
      </c>
    </row>
    <row r="51" spans="1:26" x14ac:dyDescent="0.25">
      <c r="A51" s="2">
        <v>57.064999999999998</v>
      </c>
      <c r="B51" s="2">
        <v>7.94</v>
      </c>
      <c r="C51" s="2">
        <v>57.064999999999998</v>
      </c>
      <c r="D51" s="2">
        <v>8.6</v>
      </c>
      <c r="E51" s="2">
        <v>57.064999999999998</v>
      </c>
      <c r="F51" s="2">
        <v>9.0299999999999994</v>
      </c>
      <c r="G51" s="2">
        <f t="shared" si="0"/>
        <v>8.5233333333333334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f>SUM(G$2:$G51)</f>
        <v>97.856666666666683</v>
      </c>
    </row>
    <row r="52" spans="1:26" x14ac:dyDescent="0.25">
      <c r="A52" s="2">
        <v>67.858000000000004</v>
      </c>
      <c r="B52" s="2">
        <v>2.25</v>
      </c>
      <c r="C52" s="2">
        <v>67.858000000000004</v>
      </c>
      <c r="D52" s="2">
        <v>1.89</v>
      </c>
      <c r="E52" s="2">
        <v>67.858000000000004</v>
      </c>
      <c r="F52" s="2">
        <v>1.92</v>
      </c>
      <c r="G52" s="2">
        <f t="shared" si="0"/>
        <v>2.02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f>SUM(G$2:$G52)</f>
        <v>99.876666666666679</v>
      </c>
    </row>
    <row r="53" spans="1:26" x14ac:dyDescent="0.25">
      <c r="A53" s="2">
        <v>80.695999999999998</v>
      </c>
      <c r="B53" s="2">
        <v>0.37</v>
      </c>
      <c r="C53" s="2">
        <v>80.695999999999998</v>
      </c>
      <c r="D53" s="2">
        <v>0</v>
      </c>
      <c r="E53" s="2">
        <v>80.695999999999998</v>
      </c>
      <c r="F53" s="2">
        <v>0</v>
      </c>
      <c r="G53" s="2">
        <f t="shared" si="0"/>
        <v>0.12333333333333334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f>SUM(G$2:$G53)</f>
        <v>100.00000000000001</v>
      </c>
    </row>
    <row r="54" spans="1:26" x14ac:dyDescent="0.25">
      <c r="A54" s="2">
        <v>96.01</v>
      </c>
      <c r="B54" s="2">
        <v>0</v>
      </c>
      <c r="C54" s="2">
        <v>96.01</v>
      </c>
      <c r="D54" s="2">
        <v>0</v>
      </c>
      <c r="E54" s="2">
        <v>96.01</v>
      </c>
      <c r="F54" s="2">
        <v>0</v>
      </c>
      <c r="G54" s="2">
        <f t="shared" si="0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f>SUM(G$2:$G54)</f>
        <v>100.00000000000001</v>
      </c>
    </row>
    <row r="55" spans="1:26" x14ac:dyDescent="0.25">
      <c r="A55" s="2">
        <v>114.167</v>
      </c>
      <c r="B55" s="2">
        <v>0</v>
      </c>
      <c r="C55" s="2">
        <v>114.167</v>
      </c>
      <c r="D55" s="2">
        <v>0</v>
      </c>
      <c r="E55" s="2">
        <v>114.167</v>
      </c>
      <c r="F55" s="2">
        <v>0</v>
      </c>
      <c r="G55" s="2">
        <f t="shared" si="0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f>SUM(G$2:$G55)</f>
        <v>100.00000000000001</v>
      </c>
    </row>
    <row r="56" spans="1:26" x14ac:dyDescent="0.25">
      <c r="A56" s="2">
        <v>135.71700000000001</v>
      </c>
      <c r="B56" s="2">
        <v>0</v>
      </c>
      <c r="C56" s="2">
        <v>135.71700000000001</v>
      </c>
      <c r="D56" s="2">
        <v>0</v>
      </c>
      <c r="E56" s="2">
        <v>135.71700000000001</v>
      </c>
      <c r="F56" s="2">
        <v>0</v>
      </c>
      <c r="G56" s="2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f>SUM(G$2:$G56)</f>
        <v>100.00000000000001</v>
      </c>
    </row>
    <row r="57" spans="1:26" x14ac:dyDescent="0.25">
      <c r="A57" s="2">
        <v>161.393</v>
      </c>
      <c r="B57" s="2">
        <v>0</v>
      </c>
      <c r="C57" s="2">
        <v>161.393</v>
      </c>
      <c r="D57" s="2">
        <v>0</v>
      </c>
      <c r="E57" s="2">
        <v>161.393</v>
      </c>
      <c r="F57" s="2">
        <v>0</v>
      </c>
      <c r="G57" s="2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f>SUM(G$2:$G57)</f>
        <v>100.00000000000001</v>
      </c>
    </row>
    <row r="58" spans="1:26" x14ac:dyDescent="0.25">
      <c r="A58" s="2">
        <v>191.929</v>
      </c>
      <c r="B58" s="2">
        <v>0</v>
      </c>
      <c r="C58" s="2">
        <v>191.929</v>
      </c>
      <c r="D58" s="2">
        <v>0</v>
      </c>
      <c r="E58" s="2">
        <v>191.929</v>
      </c>
      <c r="F58" s="2">
        <v>0</v>
      </c>
      <c r="G58" s="2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f>SUM(G$2:$G58)</f>
        <v>100.00000000000001</v>
      </c>
    </row>
    <row r="59" spans="1:26" x14ac:dyDescent="0.25">
      <c r="A59" s="2">
        <v>228.24199999999999</v>
      </c>
      <c r="B59" s="2">
        <v>0</v>
      </c>
      <c r="C59" s="2">
        <v>228.24199999999999</v>
      </c>
      <c r="D59" s="2">
        <v>0</v>
      </c>
      <c r="E59" s="2">
        <v>228.24199999999999</v>
      </c>
      <c r="F59" s="2">
        <v>0</v>
      </c>
      <c r="G59" s="2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f>SUM(G$2:$G59)</f>
        <v>100.00000000000001</v>
      </c>
    </row>
    <row r="60" spans="1:26" x14ac:dyDescent="0.25">
      <c r="A60" s="2">
        <v>271.43299999999999</v>
      </c>
      <c r="B60" s="2">
        <v>0</v>
      </c>
      <c r="C60" s="2">
        <v>271.43299999999999</v>
      </c>
      <c r="D60" s="2">
        <v>0</v>
      </c>
      <c r="E60" s="2">
        <v>271.43299999999999</v>
      </c>
      <c r="F60" s="2">
        <v>0</v>
      </c>
      <c r="G60" s="2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f>SUM(G$2:$G60)</f>
        <v>100.00000000000001</v>
      </c>
    </row>
    <row r="61" spans="1:26" x14ac:dyDescent="0.25">
      <c r="A61" s="2">
        <v>322.78500000000003</v>
      </c>
      <c r="B61" s="2">
        <v>0</v>
      </c>
      <c r="C61" s="2">
        <v>322.78500000000003</v>
      </c>
      <c r="D61" s="2">
        <v>0</v>
      </c>
      <c r="E61" s="2">
        <v>322.78500000000003</v>
      </c>
      <c r="F61" s="2">
        <v>0</v>
      </c>
      <c r="G61" s="2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f>SUM(G$2:$G61)</f>
        <v>100.00000000000001</v>
      </c>
    </row>
    <row r="62" spans="1:26" x14ac:dyDescent="0.25">
      <c r="A62" s="2">
        <v>383.858</v>
      </c>
      <c r="B62" s="2">
        <v>0</v>
      </c>
      <c r="C62" s="2">
        <v>383.858</v>
      </c>
      <c r="D62" s="2">
        <v>0</v>
      </c>
      <c r="E62" s="2">
        <v>383.858</v>
      </c>
      <c r="F62" s="2">
        <v>0</v>
      </c>
      <c r="G62" s="2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f>SUM(G$2:$G62)</f>
        <v>100.00000000000001</v>
      </c>
    </row>
    <row r="63" spans="1:26" x14ac:dyDescent="0.25">
      <c r="A63" s="2">
        <v>456.48500000000001</v>
      </c>
      <c r="B63" s="2">
        <v>0</v>
      </c>
      <c r="C63" s="2">
        <v>456.48500000000001</v>
      </c>
      <c r="D63" s="2">
        <v>0</v>
      </c>
      <c r="E63" s="2">
        <v>456.48500000000001</v>
      </c>
      <c r="F63" s="2">
        <v>0</v>
      </c>
      <c r="G63" s="2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f>SUM(G$2:$G63)</f>
        <v>100.00000000000001</v>
      </c>
    </row>
    <row r="64" spans="1:26" x14ac:dyDescent="0.25">
      <c r="A64" s="2">
        <v>542.86599999999999</v>
      </c>
      <c r="B64" s="2">
        <v>0</v>
      </c>
      <c r="C64" s="2">
        <v>542.86599999999999</v>
      </c>
      <c r="D64" s="2">
        <v>0</v>
      </c>
      <c r="E64" s="2">
        <v>542.86599999999999</v>
      </c>
      <c r="F64" s="2">
        <v>0</v>
      </c>
      <c r="G64" s="2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f>SUM(G$2:$G64)</f>
        <v>100.00000000000001</v>
      </c>
    </row>
    <row r="65" spans="1:26" x14ac:dyDescent="0.25">
      <c r="A65" s="2">
        <v>645.57100000000003</v>
      </c>
      <c r="B65" s="2">
        <v>0</v>
      </c>
      <c r="C65" s="2">
        <v>645.57100000000003</v>
      </c>
      <c r="D65" s="2">
        <v>0</v>
      </c>
      <c r="E65" s="2">
        <v>645.57100000000003</v>
      </c>
      <c r="F65" s="2">
        <v>0</v>
      </c>
      <c r="G65" s="2">
        <f t="shared" si="0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f>SUM(G$2:$G65)</f>
        <v>100.00000000000001</v>
      </c>
    </row>
    <row r="66" spans="1:26" x14ac:dyDescent="0.25">
      <c r="A66" s="2">
        <v>767.71600000000001</v>
      </c>
      <c r="B66" s="2">
        <v>0</v>
      </c>
      <c r="C66" s="2">
        <v>767.71600000000001</v>
      </c>
      <c r="D66" s="2">
        <v>0</v>
      </c>
      <c r="E66" s="2">
        <v>767.71600000000001</v>
      </c>
      <c r="F66" s="2">
        <v>0</v>
      </c>
      <c r="G66" s="2">
        <f t="shared" si="0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f>SUM(G$2:$G66)</f>
        <v>100.00000000000001</v>
      </c>
    </row>
    <row r="67" spans="1:26" x14ac:dyDescent="0.25">
      <c r="A67" s="2">
        <v>912.96900000000005</v>
      </c>
      <c r="B67" s="2">
        <v>0</v>
      </c>
      <c r="C67" s="2">
        <v>912.96900000000005</v>
      </c>
      <c r="D67" s="2">
        <v>0</v>
      </c>
      <c r="E67" s="2">
        <v>912.96900000000005</v>
      </c>
      <c r="F67" s="2">
        <v>0</v>
      </c>
      <c r="G67" s="2">
        <f t="shared" ref="G67:G71" si="1">AVERAGE(B67,D67,F67)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f>SUM(G$2:$G67)</f>
        <v>100.00000000000001</v>
      </c>
    </row>
    <row r="68" spans="1:26" x14ac:dyDescent="0.25">
      <c r="A68" s="3">
        <v>1085.7329999999999</v>
      </c>
      <c r="B68" s="2">
        <v>0</v>
      </c>
      <c r="C68" s="3">
        <v>1085.7329999999999</v>
      </c>
      <c r="D68" s="2">
        <v>0</v>
      </c>
      <c r="E68" s="3">
        <v>1085.7329999999999</v>
      </c>
      <c r="F68" s="2">
        <v>0</v>
      </c>
      <c r="G68" s="2">
        <f t="shared" si="1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f>SUM(G$2:$G68)</f>
        <v>100.00000000000001</v>
      </c>
    </row>
    <row r="69" spans="1:26" x14ac:dyDescent="0.25">
      <c r="A69" s="3">
        <v>1291.1420000000001</v>
      </c>
      <c r="B69" s="2">
        <v>0</v>
      </c>
      <c r="C69" s="3">
        <v>1291.1420000000001</v>
      </c>
      <c r="D69" s="2">
        <v>0</v>
      </c>
      <c r="E69" s="3">
        <v>1291.1420000000001</v>
      </c>
      <c r="F69" s="2">
        <v>0</v>
      </c>
      <c r="G69" s="2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f>SUM(G$2:$G69)</f>
        <v>100.00000000000001</v>
      </c>
    </row>
    <row r="70" spans="1:26" x14ac:dyDescent="0.25">
      <c r="A70" s="3">
        <v>1535.0650000000001</v>
      </c>
      <c r="B70" s="2">
        <v>0</v>
      </c>
      <c r="C70" s="3">
        <v>1535.0650000000001</v>
      </c>
      <c r="D70" s="2">
        <v>0</v>
      </c>
      <c r="E70" s="3">
        <v>1535.0650000000001</v>
      </c>
      <c r="F70" s="2">
        <v>0</v>
      </c>
      <c r="G70" s="2">
        <f t="shared" si="1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f>SUM(G$2:$G70)</f>
        <v>100.00000000000001</v>
      </c>
    </row>
    <row r="71" spans="1:26" x14ac:dyDescent="0.25">
      <c r="A71" s="3">
        <v>1834.008</v>
      </c>
      <c r="B71" s="2">
        <v>0</v>
      </c>
      <c r="C71" s="3">
        <v>1834.008</v>
      </c>
      <c r="D71" s="2">
        <v>0</v>
      </c>
      <c r="E71" s="3">
        <v>1834.008</v>
      </c>
      <c r="F71" s="2">
        <v>0</v>
      </c>
      <c r="G71" s="2">
        <f t="shared" si="1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f>SUM(G$2:$G71)</f>
        <v>100.00000000000001</v>
      </c>
    </row>
  </sheetData>
  <pageMargins left="0.78740157499999996" right="0.78740157499999996" top="0.984251969" bottom="0.984251969" header="0.4921259845" footer="0.492125984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1"/>
  <sheetViews>
    <sheetView zoomScale="70" zoomScaleNormal="70" workbookViewId="0">
      <selection activeCell="AC2" sqref="AC2"/>
    </sheetView>
  </sheetViews>
  <sheetFormatPr baseColWidth="10" defaultRowHeight="15" x14ac:dyDescent="0.25"/>
  <cols>
    <col min="1" max="1" width="8" bestFit="1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6" customWidth="1"/>
    <col min="8" max="8" width="2" bestFit="1" customWidth="1"/>
    <col min="9" max="9" width="1.85546875" bestFit="1" customWidth="1"/>
    <col min="10" max="10" width="2" bestFit="1" customWidth="1"/>
    <col min="11" max="11" width="1.85546875" bestFit="1" customWidth="1"/>
    <col min="12" max="12" width="2" bestFit="1" customWidth="1"/>
    <col min="13" max="13" width="1.85546875" bestFit="1" customWidth="1"/>
    <col min="14" max="14" width="2" bestFit="1" customWidth="1"/>
    <col min="15" max="15" width="1.85546875" bestFit="1" customWidth="1"/>
    <col min="16" max="16" width="2" bestFit="1" customWidth="1"/>
    <col min="17" max="17" width="1.85546875" bestFit="1" customWidth="1"/>
    <col min="18" max="18" width="2" bestFit="1" customWidth="1"/>
    <col min="19" max="19" width="1.85546875" bestFit="1" customWidth="1"/>
    <col min="20" max="20" width="2" bestFit="1" customWidth="1"/>
    <col min="21" max="21" width="1.85546875" bestFit="1" customWidth="1"/>
    <col min="22" max="22" width="2" bestFit="1" customWidth="1"/>
    <col min="23" max="23" width="1.85546875" bestFit="1" customWidth="1"/>
    <col min="24" max="24" width="2" bestFit="1" customWidth="1"/>
    <col min="25" max="25" width="1.85546875" bestFit="1" customWidth="1"/>
    <col min="26" max="26" width="1.85546875" customWidth="1"/>
    <col min="29" max="30" width="14.85546875" bestFit="1" customWidth="1"/>
  </cols>
  <sheetData>
    <row r="1" spans="1:29" ht="30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2</v>
      </c>
      <c r="H1" s="2" t="s">
        <v>0</v>
      </c>
      <c r="I1" s="2" t="s">
        <v>1</v>
      </c>
      <c r="J1" s="2" t="s">
        <v>0</v>
      </c>
      <c r="K1" s="2" t="s">
        <v>1</v>
      </c>
      <c r="L1" s="2" t="s">
        <v>0</v>
      </c>
      <c r="M1" s="2" t="s">
        <v>1</v>
      </c>
      <c r="N1" s="2" t="s">
        <v>0</v>
      </c>
      <c r="O1" s="2" t="s">
        <v>1</v>
      </c>
      <c r="P1" s="2" t="s">
        <v>0</v>
      </c>
      <c r="Q1" s="2" t="s">
        <v>1</v>
      </c>
      <c r="R1" s="2" t="s">
        <v>0</v>
      </c>
      <c r="S1" s="2" t="s">
        <v>1</v>
      </c>
      <c r="T1" s="2" t="s">
        <v>0</v>
      </c>
      <c r="U1" s="2" t="s">
        <v>1</v>
      </c>
      <c r="V1" s="2" t="s">
        <v>0</v>
      </c>
      <c r="W1" s="2" t="s">
        <v>1</v>
      </c>
      <c r="X1" s="2" t="s">
        <v>0</v>
      </c>
      <c r="Y1" s="2" t="s">
        <v>1</v>
      </c>
      <c r="Z1" s="4"/>
      <c r="AA1" s="7" t="s">
        <v>3</v>
      </c>
      <c r="AB1" s="9"/>
      <c r="AC1" s="10" t="s">
        <v>7</v>
      </c>
    </row>
    <row r="2" spans="1:29" x14ac:dyDescent="0.25">
      <c r="A2" s="2">
        <v>1.2E-2</v>
      </c>
      <c r="B2" s="2">
        <v>0</v>
      </c>
      <c r="C2" s="2">
        <v>1.2E-2</v>
      </c>
      <c r="D2" s="2">
        <v>0</v>
      </c>
      <c r="E2" s="2">
        <v>1.2E-2</v>
      </c>
      <c r="F2" s="2">
        <v>0</v>
      </c>
      <c r="G2" s="2">
        <f>AVERAGE(B2,D2,F2)</f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"/>
      <c r="AA2" s="8"/>
      <c r="AB2" s="13" t="s">
        <v>4</v>
      </c>
      <c r="AC2" s="11">
        <f>E45+(10-AA45)*(E46-E45)/(AA46-AA45)</f>
        <v>20.560428940568475</v>
      </c>
    </row>
    <row r="3" spans="1:29" x14ac:dyDescent="0.25">
      <c r="A3" s="2">
        <v>1.4E-2</v>
      </c>
      <c r="B3" s="2">
        <v>0</v>
      </c>
      <c r="C3" s="2">
        <v>1.4E-2</v>
      </c>
      <c r="D3" s="2">
        <v>0</v>
      </c>
      <c r="E3" s="2">
        <v>1.4E-2</v>
      </c>
      <c r="F3" s="2">
        <v>0</v>
      </c>
      <c r="G3" s="2">
        <f t="shared" ref="G3:G66" si="0">AVERAGE(B3,D3,F3)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5"/>
      <c r="AA3" s="8">
        <f>SUM($G$2:G3)</f>
        <v>0</v>
      </c>
      <c r="AB3" s="12" t="s">
        <v>5</v>
      </c>
      <c r="AC3" s="11">
        <f>E47+(50-AA47)*(E48-E47)/(AA48-AA47)</f>
        <v>30.053641830410129</v>
      </c>
    </row>
    <row r="4" spans="1:29" x14ac:dyDescent="0.25">
      <c r="A4" s="2">
        <v>1.7000000000000001E-2</v>
      </c>
      <c r="B4" s="2">
        <v>0</v>
      </c>
      <c r="C4" s="2">
        <v>1.7000000000000001E-2</v>
      </c>
      <c r="D4" s="2">
        <v>0</v>
      </c>
      <c r="E4" s="2">
        <v>1.7000000000000001E-2</v>
      </c>
      <c r="F4" s="2">
        <v>0</v>
      </c>
      <c r="G4" s="2">
        <f t="shared" si="0"/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"/>
      <c r="AA4" s="8">
        <f>SUM($G$2:G4)</f>
        <v>0</v>
      </c>
      <c r="AB4" s="12" t="s">
        <v>6</v>
      </c>
      <c r="AC4" s="11">
        <f>E49+(90-AA49)*(E50-E49)/(AA50-AA49)</f>
        <v>42.296490232907587</v>
      </c>
    </row>
    <row r="5" spans="1:29" x14ac:dyDescent="0.25">
      <c r="A5" s="2">
        <v>0.02</v>
      </c>
      <c r="B5" s="2">
        <v>0</v>
      </c>
      <c r="C5" s="2">
        <v>0.02</v>
      </c>
      <c r="D5" s="2">
        <v>0</v>
      </c>
      <c r="E5" s="2">
        <v>0.02</v>
      </c>
      <c r="F5" s="2">
        <v>0</v>
      </c>
      <c r="G5" s="2">
        <f t="shared" si="0"/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"/>
      <c r="AA5">
        <f>SUM($G$2:G5)</f>
        <v>0</v>
      </c>
    </row>
    <row r="6" spans="1:29" x14ac:dyDescent="0.25">
      <c r="A6" s="2">
        <v>2.3E-2</v>
      </c>
      <c r="B6" s="2">
        <v>0</v>
      </c>
      <c r="C6" s="2">
        <v>2.3E-2</v>
      </c>
      <c r="D6" s="2">
        <v>0</v>
      </c>
      <c r="E6" s="2">
        <v>2.3E-2</v>
      </c>
      <c r="F6" s="2">
        <v>0</v>
      </c>
      <c r="G6" s="2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5"/>
      <c r="AA6">
        <f>SUM($G$2:G6)</f>
        <v>0</v>
      </c>
    </row>
    <row r="7" spans="1:29" x14ac:dyDescent="0.25">
      <c r="A7" s="2">
        <v>2.8000000000000001E-2</v>
      </c>
      <c r="B7" s="2">
        <v>0</v>
      </c>
      <c r="C7" s="2">
        <v>2.8000000000000001E-2</v>
      </c>
      <c r="D7" s="2">
        <v>0</v>
      </c>
      <c r="E7" s="2">
        <v>2.8000000000000001E-2</v>
      </c>
      <c r="F7" s="2">
        <v>0</v>
      </c>
      <c r="G7" s="2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5"/>
      <c r="AA7">
        <f>SUM($G$2:G7)</f>
        <v>0</v>
      </c>
    </row>
    <row r="8" spans="1:29" x14ac:dyDescent="0.25">
      <c r="A8" s="2">
        <v>3.3000000000000002E-2</v>
      </c>
      <c r="B8" s="2">
        <v>0</v>
      </c>
      <c r="C8" s="2">
        <v>3.3000000000000002E-2</v>
      </c>
      <c r="D8" s="2">
        <v>0</v>
      </c>
      <c r="E8" s="2">
        <v>3.3000000000000002E-2</v>
      </c>
      <c r="F8" s="2">
        <v>0</v>
      </c>
      <c r="G8" s="2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5"/>
      <c r="AA8">
        <f>SUM($G$2:G8)</f>
        <v>0</v>
      </c>
    </row>
    <row r="9" spans="1:29" x14ac:dyDescent="0.25">
      <c r="A9" s="2">
        <v>3.9E-2</v>
      </c>
      <c r="B9" s="2">
        <v>0</v>
      </c>
      <c r="C9" s="2">
        <v>3.9E-2</v>
      </c>
      <c r="D9" s="2">
        <v>0</v>
      </c>
      <c r="E9" s="2">
        <v>3.9E-2</v>
      </c>
      <c r="F9" s="2">
        <v>0</v>
      </c>
      <c r="G9" s="2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5"/>
      <c r="AA9">
        <f>SUM($G$2:G9)</f>
        <v>0</v>
      </c>
    </row>
    <row r="10" spans="1:29" x14ac:dyDescent="0.25">
      <c r="A10" s="2">
        <v>4.7E-2</v>
      </c>
      <c r="B10" s="2">
        <v>0</v>
      </c>
      <c r="C10" s="2">
        <v>4.7E-2</v>
      </c>
      <c r="D10" s="2">
        <v>0</v>
      </c>
      <c r="E10" s="2">
        <v>4.7E-2</v>
      </c>
      <c r="F10" s="2">
        <v>0</v>
      </c>
      <c r="G10" s="2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  <c r="AA10">
        <f>SUM($G$2:G10)</f>
        <v>0</v>
      </c>
    </row>
    <row r="11" spans="1:29" x14ac:dyDescent="0.25">
      <c r="A11" s="2">
        <v>5.6000000000000001E-2</v>
      </c>
      <c r="B11" s="2">
        <v>0</v>
      </c>
      <c r="C11" s="2">
        <v>5.6000000000000001E-2</v>
      </c>
      <c r="D11" s="2">
        <v>0</v>
      </c>
      <c r="E11" s="2">
        <v>5.6000000000000001E-2</v>
      </c>
      <c r="F11" s="2">
        <v>0</v>
      </c>
      <c r="G11" s="2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  <c r="AA11">
        <f>SUM($G$2:G11)</f>
        <v>0</v>
      </c>
    </row>
    <row r="12" spans="1:29" x14ac:dyDescent="0.25">
      <c r="A12" s="2">
        <v>6.6000000000000003E-2</v>
      </c>
      <c r="B12" s="2">
        <v>0</v>
      </c>
      <c r="C12" s="2">
        <v>6.6000000000000003E-2</v>
      </c>
      <c r="D12" s="2">
        <v>0</v>
      </c>
      <c r="E12" s="2">
        <v>6.6000000000000003E-2</v>
      </c>
      <c r="F12" s="2">
        <v>0</v>
      </c>
      <c r="G12" s="2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/>
      <c r="AA12">
        <f>SUM($G$2:G12)</f>
        <v>0</v>
      </c>
    </row>
    <row r="13" spans="1:29" x14ac:dyDescent="0.25">
      <c r="A13" s="2">
        <v>7.9000000000000001E-2</v>
      </c>
      <c r="B13" s="2">
        <v>0</v>
      </c>
      <c r="C13" s="2">
        <v>7.9000000000000001E-2</v>
      </c>
      <c r="D13" s="2">
        <v>0</v>
      </c>
      <c r="E13" s="2">
        <v>7.9000000000000001E-2</v>
      </c>
      <c r="F13" s="2">
        <v>0</v>
      </c>
      <c r="G13" s="2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"/>
      <c r="AA13">
        <f>SUM($G$2:G13)</f>
        <v>0</v>
      </c>
    </row>
    <row r="14" spans="1:29" x14ac:dyDescent="0.25">
      <c r="A14" s="2">
        <v>9.4E-2</v>
      </c>
      <c r="B14" s="2">
        <v>0</v>
      </c>
      <c r="C14" s="2">
        <v>9.4E-2</v>
      </c>
      <c r="D14" s="2">
        <v>0</v>
      </c>
      <c r="E14" s="2">
        <v>9.4E-2</v>
      </c>
      <c r="F14" s="2">
        <v>0</v>
      </c>
      <c r="G14" s="2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5"/>
      <c r="AA14">
        <f>SUM($G$2:G14)</f>
        <v>0</v>
      </c>
    </row>
    <row r="15" spans="1:29" x14ac:dyDescent="0.25">
      <c r="A15" s="2">
        <v>0.112</v>
      </c>
      <c r="B15" s="2">
        <v>0</v>
      </c>
      <c r="C15" s="2">
        <v>0.112</v>
      </c>
      <c r="D15" s="2">
        <v>0</v>
      </c>
      <c r="E15" s="2">
        <v>0.112</v>
      </c>
      <c r="F15" s="2">
        <v>0</v>
      </c>
      <c r="G15" s="2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5"/>
      <c r="AA15">
        <f>SUM($G$2:G15)</f>
        <v>0</v>
      </c>
    </row>
    <row r="16" spans="1:29" x14ac:dyDescent="0.25">
      <c r="A16" s="2">
        <v>0.13300000000000001</v>
      </c>
      <c r="B16" s="2">
        <v>0</v>
      </c>
      <c r="C16" s="2">
        <v>0.13300000000000001</v>
      </c>
      <c r="D16" s="2">
        <v>0</v>
      </c>
      <c r="E16" s="2">
        <v>0.13300000000000001</v>
      </c>
      <c r="F16" s="2">
        <v>0</v>
      </c>
      <c r="G16" s="2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5"/>
      <c r="AA16">
        <f>SUM($G$2:G16)</f>
        <v>0</v>
      </c>
    </row>
    <row r="17" spans="1:27" x14ac:dyDescent="0.25">
      <c r="A17" s="2">
        <v>0.158</v>
      </c>
      <c r="B17" s="2">
        <v>0</v>
      </c>
      <c r="C17" s="2">
        <v>0.158</v>
      </c>
      <c r="D17" s="2">
        <v>0</v>
      </c>
      <c r="E17" s="2">
        <v>0.158</v>
      </c>
      <c r="F17" s="2">
        <v>0</v>
      </c>
      <c r="G17" s="2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5"/>
      <c r="AA17">
        <f>SUM($G$2:G17)</f>
        <v>0</v>
      </c>
    </row>
    <row r="18" spans="1:27" x14ac:dyDescent="0.25">
      <c r="A18" s="2">
        <v>0.187</v>
      </c>
      <c r="B18" s="2">
        <v>0</v>
      </c>
      <c r="C18" s="2">
        <v>0.187</v>
      </c>
      <c r="D18" s="2">
        <v>0</v>
      </c>
      <c r="E18" s="2">
        <v>0.187</v>
      </c>
      <c r="F18" s="2">
        <v>0</v>
      </c>
      <c r="G18" s="2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"/>
      <c r="AA18">
        <f>SUM($G$2:G18)</f>
        <v>0</v>
      </c>
    </row>
    <row r="19" spans="1:27" x14ac:dyDescent="0.25">
      <c r="A19" s="2">
        <v>0.223</v>
      </c>
      <c r="B19" s="2">
        <v>0</v>
      </c>
      <c r="C19" s="2">
        <v>0.223</v>
      </c>
      <c r="D19" s="2">
        <v>0</v>
      </c>
      <c r="E19" s="2">
        <v>0.223</v>
      </c>
      <c r="F19" s="2">
        <v>0</v>
      </c>
      <c r="G19" s="2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"/>
      <c r="AA19">
        <f>SUM($G$2:G19)</f>
        <v>0</v>
      </c>
    </row>
    <row r="20" spans="1:27" x14ac:dyDescent="0.25">
      <c r="A20" s="2">
        <v>0.26500000000000001</v>
      </c>
      <c r="B20" s="2">
        <v>0</v>
      </c>
      <c r="C20" s="2">
        <v>0.26500000000000001</v>
      </c>
      <c r="D20" s="2">
        <v>0</v>
      </c>
      <c r="E20" s="2">
        <v>0.26500000000000001</v>
      </c>
      <c r="F20" s="2">
        <v>0</v>
      </c>
      <c r="G20" s="2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5"/>
      <c r="AA20">
        <f>SUM($G$2:G20)</f>
        <v>0</v>
      </c>
    </row>
    <row r="21" spans="1:27" x14ac:dyDescent="0.25">
      <c r="A21" s="2">
        <v>0.315</v>
      </c>
      <c r="B21" s="2">
        <v>0</v>
      </c>
      <c r="C21" s="2">
        <v>0.315</v>
      </c>
      <c r="D21" s="2">
        <v>0</v>
      </c>
      <c r="E21" s="2">
        <v>0.315</v>
      </c>
      <c r="F21" s="2">
        <v>0</v>
      </c>
      <c r="G21" s="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5"/>
      <c r="AA21">
        <f>SUM($G$2:G21)</f>
        <v>0</v>
      </c>
    </row>
    <row r="22" spans="1:27" x14ac:dyDescent="0.25">
      <c r="A22" s="2">
        <v>0.375</v>
      </c>
      <c r="B22" s="2">
        <v>0</v>
      </c>
      <c r="C22" s="2">
        <v>0.375</v>
      </c>
      <c r="D22" s="2">
        <v>0</v>
      </c>
      <c r="E22" s="2">
        <v>0.375</v>
      </c>
      <c r="F22" s="2">
        <v>0</v>
      </c>
      <c r="G22" s="2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"/>
      <c r="AA22">
        <f>SUM($G$2:G22)</f>
        <v>0</v>
      </c>
    </row>
    <row r="23" spans="1:27" x14ac:dyDescent="0.25">
      <c r="A23" s="2">
        <v>0.44600000000000001</v>
      </c>
      <c r="B23" s="2">
        <v>0</v>
      </c>
      <c r="C23" s="2">
        <v>0.44600000000000001</v>
      </c>
      <c r="D23" s="2">
        <v>0</v>
      </c>
      <c r="E23" s="2">
        <v>0.44600000000000001</v>
      </c>
      <c r="F23" s="2">
        <v>0</v>
      </c>
      <c r="G23" s="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  <c r="AA23">
        <f>SUM($G$2:G23)</f>
        <v>0</v>
      </c>
    </row>
    <row r="24" spans="1:27" x14ac:dyDescent="0.25">
      <c r="A24" s="2">
        <v>0.53</v>
      </c>
      <c r="B24" s="2">
        <v>0</v>
      </c>
      <c r="C24" s="2">
        <v>0.53</v>
      </c>
      <c r="D24" s="2">
        <v>0</v>
      </c>
      <c r="E24" s="2">
        <v>0.53</v>
      </c>
      <c r="F24" s="2">
        <v>0</v>
      </c>
      <c r="G24" s="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5"/>
      <c r="AA24">
        <f>SUM($G$2:G24)</f>
        <v>0</v>
      </c>
    </row>
    <row r="25" spans="1:27" x14ac:dyDescent="0.25">
      <c r="A25" s="2">
        <v>0.63100000000000001</v>
      </c>
      <c r="B25" s="2">
        <v>0</v>
      </c>
      <c r="C25" s="2">
        <v>0.63100000000000001</v>
      </c>
      <c r="D25" s="2">
        <v>0</v>
      </c>
      <c r="E25" s="2">
        <v>0.63100000000000001</v>
      </c>
      <c r="F25" s="2">
        <v>0</v>
      </c>
      <c r="G25" s="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>
        <f>SUM($G$2:G25)</f>
        <v>0</v>
      </c>
    </row>
    <row r="26" spans="1:27" x14ac:dyDescent="0.25">
      <c r="A26" s="2">
        <v>0.75</v>
      </c>
      <c r="B26" s="2">
        <v>0</v>
      </c>
      <c r="C26" s="2">
        <v>0.75</v>
      </c>
      <c r="D26" s="2">
        <v>0</v>
      </c>
      <c r="E26" s="2">
        <v>0.75</v>
      </c>
      <c r="F26" s="2">
        <v>0</v>
      </c>
      <c r="G26" s="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>
        <f>SUM($G$2:G26)</f>
        <v>0</v>
      </c>
    </row>
    <row r="27" spans="1:27" x14ac:dyDescent="0.25">
      <c r="A27" s="2">
        <v>0.89100000000000001</v>
      </c>
      <c r="B27" s="2">
        <v>0</v>
      </c>
      <c r="C27" s="2">
        <v>0.89100000000000001</v>
      </c>
      <c r="D27" s="2">
        <v>0</v>
      </c>
      <c r="E27" s="2">
        <v>0.89100000000000001</v>
      </c>
      <c r="F27" s="2">
        <v>0</v>
      </c>
      <c r="G27" s="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>
        <f>SUM($G$2:G27)</f>
        <v>0</v>
      </c>
    </row>
    <row r="28" spans="1:27" x14ac:dyDescent="0.25">
      <c r="A28" s="2">
        <v>1.06</v>
      </c>
      <c r="B28" s="2">
        <v>0</v>
      </c>
      <c r="C28" s="2">
        <v>1.06</v>
      </c>
      <c r="D28" s="2">
        <v>0</v>
      </c>
      <c r="E28" s="2">
        <v>1.06</v>
      </c>
      <c r="F28" s="2">
        <v>0</v>
      </c>
      <c r="G28" s="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/>
      <c r="AA28">
        <f>SUM($G$2:G28)</f>
        <v>0</v>
      </c>
    </row>
    <row r="29" spans="1:27" x14ac:dyDescent="0.25">
      <c r="A29" s="2">
        <v>1.2609999999999999</v>
      </c>
      <c r="B29" s="2">
        <v>0</v>
      </c>
      <c r="C29" s="2">
        <v>1.2609999999999999</v>
      </c>
      <c r="D29" s="2">
        <v>0</v>
      </c>
      <c r="E29" s="2">
        <v>1.2609999999999999</v>
      </c>
      <c r="F29" s="2">
        <v>0</v>
      </c>
      <c r="G29" s="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/>
      <c r="AA29">
        <f>SUM($G$2:G29)</f>
        <v>0</v>
      </c>
    </row>
    <row r="30" spans="1:27" x14ac:dyDescent="0.25">
      <c r="A30" s="2">
        <v>1.4990000000000001</v>
      </c>
      <c r="B30" s="2">
        <v>0</v>
      </c>
      <c r="C30" s="2">
        <v>1.4990000000000001</v>
      </c>
      <c r="D30" s="2">
        <v>0</v>
      </c>
      <c r="E30" s="2">
        <v>1.4990000000000001</v>
      </c>
      <c r="F30" s="2">
        <v>0</v>
      </c>
      <c r="G30" s="2">
        <f t="shared" si="0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/>
      <c r="AA30">
        <f>SUM($G$2:G30)</f>
        <v>0</v>
      </c>
    </row>
    <row r="31" spans="1:27" x14ac:dyDescent="0.25">
      <c r="A31" s="2">
        <v>1.784</v>
      </c>
      <c r="B31" s="2">
        <v>0</v>
      </c>
      <c r="C31" s="2">
        <v>1.784</v>
      </c>
      <c r="D31" s="2">
        <v>0</v>
      </c>
      <c r="E31" s="2">
        <v>1.784</v>
      </c>
      <c r="F31" s="2">
        <v>0</v>
      </c>
      <c r="G31" s="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"/>
      <c r="AA31">
        <f>SUM($G$2:G31)</f>
        <v>0</v>
      </c>
    </row>
    <row r="32" spans="1:27" x14ac:dyDescent="0.25">
      <c r="A32" s="2">
        <v>2.121</v>
      </c>
      <c r="B32" s="2">
        <v>0</v>
      </c>
      <c r="C32" s="2">
        <v>2.121</v>
      </c>
      <c r="D32" s="2">
        <v>0</v>
      </c>
      <c r="E32" s="2">
        <v>2.121</v>
      </c>
      <c r="F32" s="2">
        <v>0</v>
      </c>
      <c r="G32" s="2">
        <f t="shared" si="0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"/>
      <c r="AA32">
        <f>SUM($G$2:G32)</f>
        <v>0</v>
      </c>
    </row>
    <row r="33" spans="1:27" x14ac:dyDescent="0.25">
      <c r="A33" s="2">
        <v>2.5219999999999998</v>
      </c>
      <c r="B33" s="2">
        <v>0</v>
      </c>
      <c r="C33" s="2">
        <v>2.5219999999999998</v>
      </c>
      <c r="D33" s="2">
        <v>0</v>
      </c>
      <c r="E33" s="2">
        <v>2.5219999999999998</v>
      </c>
      <c r="F33" s="2">
        <v>0</v>
      </c>
      <c r="G33" s="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5"/>
      <c r="AA33">
        <f>SUM($G$2:G33)</f>
        <v>0</v>
      </c>
    </row>
    <row r="34" spans="1:27" x14ac:dyDescent="0.25">
      <c r="A34" s="2">
        <v>2.9990000000000001</v>
      </c>
      <c r="B34" s="2">
        <v>0</v>
      </c>
      <c r="C34" s="2">
        <v>2.9990000000000001</v>
      </c>
      <c r="D34" s="2">
        <v>0</v>
      </c>
      <c r="E34" s="2">
        <v>2.9990000000000001</v>
      </c>
      <c r="F34" s="2">
        <v>0</v>
      </c>
      <c r="G34" s="2">
        <f t="shared" si="0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"/>
      <c r="AA34">
        <f>SUM($G$2:G34)</f>
        <v>0</v>
      </c>
    </row>
    <row r="35" spans="1:27" x14ac:dyDescent="0.25">
      <c r="A35" s="2">
        <v>3.5670000000000002</v>
      </c>
      <c r="B35" s="2">
        <v>0</v>
      </c>
      <c r="C35" s="2">
        <v>3.5670000000000002</v>
      </c>
      <c r="D35" s="2">
        <v>0</v>
      </c>
      <c r="E35" s="2">
        <v>3.5670000000000002</v>
      </c>
      <c r="F35" s="2">
        <v>0</v>
      </c>
      <c r="G35" s="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"/>
      <c r="AA35">
        <f>SUM($G$2:G35)</f>
        <v>0</v>
      </c>
    </row>
    <row r="36" spans="1:27" x14ac:dyDescent="0.25">
      <c r="A36" s="2">
        <v>4.2460000000000004</v>
      </c>
      <c r="B36" s="2">
        <v>0</v>
      </c>
      <c r="C36" s="2">
        <v>4.2460000000000004</v>
      </c>
      <c r="D36" s="2">
        <v>0</v>
      </c>
      <c r="E36" s="2">
        <v>4.2460000000000004</v>
      </c>
      <c r="F36" s="2">
        <v>0</v>
      </c>
      <c r="G36" s="2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5"/>
      <c r="AA36">
        <f>SUM($G$2:G36)</f>
        <v>0</v>
      </c>
    </row>
    <row r="37" spans="1:27" x14ac:dyDescent="0.25">
      <c r="A37" s="2">
        <v>5.0439999999999996</v>
      </c>
      <c r="B37" s="2">
        <v>0</v>
      </c>
      <c r="C37" s="2">
        <v>5.0439999999999996</v>
      </c>
      <c r="D37" s="2">
        <v>0</v>
      </c>
      <c r="E37" s="2">
        <v>5.0439999999999996</v>
      </c>
      <c r="F37" s="2">
        <v>0</v>
      </c>
      <c r="G37" s="2">
        <f t="shared" si="0"/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5"/>
      <c r="AA37">
        <f>SUM($G$2:G37)</f>
        <v>0</v>
      </c>
    </row>
    <row r="38" spans="1:27" x14ac:dyDescent="0.25">
      <c r="A38" s="2">
        <v>5.9969999999999999</v>
      </c>
      <c r="B38" s="2">
        <v>0</v>
      </c>
      <c r="C38" s="2">
        <v>5.9969999999999999</v>
      </c>
      <c r="D38" s="2">
        <v>0</v>
      </c>
      <c r="E38" s="2">
        <v>5.9969999999999999</v>
      </c>
      <c r="F38" s="2">
        <v>0</v>
      </c>
      <c r="G38" s="2">
        <f t="shared" si="0"/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"/>
      <c r="AA38">
        <f>SUM($G$2:G38)</f>
        <v>0</v>
      </c>
    </row>
    <row r="39" spans="1:27" x14ac:dyDescent="0.25">
      <c r="A39" s="2">
        <v>7.1340000000000003</v>
      </c>
      <c r="B39" s="2">
        <v>0</v>
      </c>
      <c r="C39" s="2">
        <v>7.1340000000000003</v>
      </c>
      <c r="D39" s="2">
        <v>0</v>
      </c>
      <c r="E39" s="2">
        <v>7.1340000000000003</v>
      </c>
      <c r="F39" s="2">
        <v>0</v>
      </c>
      <c r="G39" s="2">
        <f t="shared" si="0"/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"/>
      <c r="AA39">
        <f>SUM($G$2:G39)</f>
        <v>0</v>
      </c>
    </row>
    <row r="40" spans="1:27" x14ac:dyDescent="0.25">
      <c r="A40" s="2">
        <v>8.4819999999999993</v>
      </c>
      <c r="B40" s="2">
        <v>0</v>
      </c>
      <c r="C40" s="2">
        <v>8.4819999999999993</v>
      </c>
      <c r="D40" s="2">
        <v>0</v>
      </c>
      <c r="E40" s="2">
        <v>8.4819999999999993</v>
      </c>
      <c r="F40" s="2">
        <v>0</v>
      </c>
      <c r="G40" s="2">
        <f t="shared" si="0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"/>
      <c r="AA40">
        <f>SUM($G$2:G40)</f>
        <v>0</v>
      </c>
    </row>
    <row r="41" spans="1:27" x14ac:dyDescent="0.25">
      <c r="A41" s="2">
        <v>10.087</v>
      </c>
      <c r="B41" s="2">
        <v>0</v>
      </c>
      <c r="C41" s="2">
        <v>10.087</v>
      </c>
      <c r="D41" s="2">
        <v>0</v>
      </c>
      <c r="E41" s="2">
        <v>10.087</v>
      </c>
      <c r="F41" s="2">
        <v>0</v>
      </c>
      <c r="G41" s="2">
        <f t="shared" si="0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/>
      <c r="AA41">
        <f>SUM($G$2:G41)</f>
        <v>0</v>
      </c>
    </row>
    <row r="42" spans="1:27" x14ac:dyDescent="0.25">
      <c r="A42" s="2">
        <v>11.994</v>
      </c>
      <c r="B42" s="2">
        <v>0</v>
      </c>
      <c r="C42" s="2">
        <v>11.994</v>
      </c>
      <c r="D42" s="2">
        <v>0</v>
      </c>
      <c r="E42" s="2">
        <v>11.994</v>
      </c>
      <c r="F42" s="2">
        <v>0</v>
      </c>
      <c r="G42" s="2">
        <f t="shared" si="0"/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"/>
      <c r="AA42">
        <f>SUM($G$2:G42)</f>
        <v>0</v>
      </c>
    </row>
    <row r="43" spans="1:27" x14ac:dyDescent="0.25">
      <c r="A43" s="2">
        <v>14.269</v>
      </c>
      <c r="B43" s="2">
        <v>0.82</v>
      </c>
      <c r="C43" s="2">
        <v>14.269</v>
      </c>
      <c r="D43" s="2">
        <v>0.31</v>
      </c>
      <c r="E43" s="2">
        <v>14.269</v>
      </c>
      <c r="F43" s="2">
        <v>0.75</v>
      </c>
      <c r="G43" s="2">
        <f t="shared" si="0"/>
        <v>0.62666666666666659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5"/>
      <c r="AA43">
        <f>SUM($G$2:G43)</f>
        <v>0.62666666666666659</v>
      </c>
    </row>
    <row r="44" spans="1:27" x14ac:dyDescent="0.25">
      <c r="A44" s="2">
        <v>16.965</v>
      </c>
      <c r="B44" s="2">
        <v>2.4700000000000002</v>
      </c>
      <c r="C44" s="2">
        <v>16.965</v>
      </c>
      <c r="D44" s="2">
        <v>1.63</v>
      </c>
      <c r="E44" s="2">
        <v>16.965</v>
      </c>
      <c r="F44" s="2">
        <v>2.2999999999999998</v>
      </c>
      <c r="G44" s="2">
        <f t="shared" si="0"/>
        <v>2.1333333333333333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5"/>
      <c r="AA44">
        <f>SUM($G$2:G44)</f>
        <v>2.76</v>
      </c>
    </row>
    <row r="45" spans="1:27" x14ac:dyDescent="0.25">
      <c r="A45" s="2">
        <v>20.173999999999999</v>
      </c>
      <c r="B45" s="2">
        <v>6.12</v>
      </c>
      <c r="C45" s="2">
        <v>20.173999999999999</v>
      </c>
      <c r="D45" s="2">
        <v>5.85</v>
      </c>
      <c r="E45" s="2">
        <v>20.173999999999999</v>
      </c>
      <c r="F45" s="2">
        <v>5.83</v>
      </c>
      <c r="G45" s="2">
        <f t="shared" si="0"/>
        <v>5.9333333333333327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5"/>
      <c r="AA45">
        <f>SUM($G$2:G45)</f>
        <v>8.6933333333333316</v>
      </c>
    </row>
    <row r="46" spans="1:27" x14ac:dyDescent="0.25">
      <c r="A46" s="2">
        <v>23.989000000000001</v>
      </c>
      <c r="B46" s="2">
        <v>12.5</v>
      </c>
      <c r="C46" s="2">
        <v>23.989000000000001</v>
      </c>
      <c r="D46" s="2">
        <v>14.05</v>
      </c>
      <c r="E46" s="2">
        <v>23.989000000000001</v>
      </c>
      <c r="F46" s="2">
        <v>12.15</v>
      </c>
      <c r="G46" s="2">
        <f t="shared" si="0"/>
        <v>12.9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5"/>
      <c r="AA46">
        <f>SUM($G$2:G46)</f>
        <v>21.593333333333334</v>
      </c>
    </row>
    <row r="47" spans="1:27" x14ac:dyDescent="0.25">
      <c r="A47" s="2">
        <v>28.527999999999999</v>
      </c>
      <c r="B47" s="2">
        <v>20.68</v>
      </c>
      <c r="C47" s="2">
        <v>28.527999999999999</v>
      </c>
      <c r="D47" s="2">
        <v>22.63</v>
      </c>
      <c r="E47" s="2">
        <v>28.527999999999999</v>
      </c>
      <c r="F47" s="2">
        <v>20.49</v>
      </c>
      <c r="G47" s="2">
        <f t="shared" si="0"/>
        <v>21.266666666666666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5"/>
      <c r="AA47">
        <f>SUM($G$2:G47)</f>
        <v>42.86</v>
      </c>
    </row>
    <row r="48" spans="1:27" x14ac:dyDescent="0.25">
      <c r="A48" s="2">
        <v>33.929000000000002</v>
      </c>
      <c r="B48" s="2">
        <v>25.54</v>
      </c>
      <c r="C48" s="2">
        <v>33.929000000000002</v>
      </c>
      <c r="D48" s="2">
        <v>24.47</v>
      </c>
      <c r="E48" s="2">
        <v>33.929000000000002</v>
      </c>
      <c r="F48" s="2">
        <v>25.82</v>
      </c>
      <c r="G48" s="2">
        <f t="shared" si="0"/>
        <v>25.276666666666667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5"/>
      <c r="AA48">
        <f>SUM($G$2:G48)</f>
        <v>68.13666666666667</v>
      </c>
    </row>
    <row r="49" spans="1:27" x14ac:dyDescent="0.25">
      <c r="A49" s="2">
        <v>40.347999999999999</v>
      </c>
      <c r="B49" s="2">
        <v>20.149999999999999</v>
      </c>
      <c r="C49" s="2">
        <v>40.347999999999999</v>
      </c>
      <c r="D49" s="2">
        <v>17.82</v>
      </c>
      <c r="E49" s="2">
        <v>40.347999999999999</v>
      </c>
      <c r="F49" s="2">
        <v>20.83</v>
      </c>
      <c r="G49" s="2">
        <f t="shared" si="0"/>
        <v>19.599999999999998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5"/>
      <c r="AA49">
        <f>SUM($G$2:G49)</f>
        <v>87.736666666666665</v>
      </c>
    </row>
    <row r="50" spans="1:27" x14ac:dyDescent="0.25">
      <c r="A50" s="2">
        <v>47.987000000000002</v>
      </c>
      <c r="B50" s="2">
        <v>8.6999999999999993</v>
      </c>
      <c r="C50" s="2">
        <v>47.987000000000002</v>
      </c>
      <c r="D50" s="2">
        <v>8.7799999999999994</v>
      </c>
      <c r="E50" s="2">
        <v>47.987000000000002</v>
      </c>
      <c r="F50" s="2">
        <v>9.14</v>
      </c>
      <c r="G50" s="2">
        <f t="shared" si="0"/>
        <v>8.8733333333333331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5"/>
      <c r="AA50">
        <f>SUM($G$2:G50)</f>
        <v>96.61</v>
      </c>
    </row>
    <row r="51" spans="1:27" x14ac:dyDescent="0.25">
      <c r="A51" s="2">
        <v>57.064999999999998</v>
      </c>
      <c r="B51" s="2">
        <v>1.89</v>
      </c>
      <c r="C51" s="2">
        <v>57.064999999999998</v>
      </c>
      <c r="D51" s="2">
        <v>2.94</v>
      </c>
      <c r="E51" s="2">
        <v>57.064999999999998</v>
      </c>
      <c r="F51" s="2">
        <v>2.0099999999999998</v>
      </c>
      <c r="G51" s="2">
        <f t="shared" si="0"/>
        <v>2.2799999999999998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5"/>
      <c r="AA51">
        <f>SUM($G$2:G51)</f>
        <v>98.89</v>
      </c>
    </row>
    <row r="52" spans="1:27" x14ac:dyDescent="0.25">
      <c r="A52" s="2">
        <v>67.858000000000004</v>
      </c>
      <c r="B52" s="2">
        <v>0.73</v>
      </c>
      <c r="C52" s="2">
        <v>67.858000000000004</v>
      </c>
      <c r="D52" s="2">
        <v>1.1000000000000001</v>
      </c>
      <c r="E52" s="2">
        <v>67.858000000000004</v>
      </c>
      <c r="F52" s="2">
        <v>0.68</v>
      </c>
      <c r="G52" s="2">
        <f t="shared" si="0"/>
        <v>0.83666666666666678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5"/>
      <c r="AA52">
        <f>SUM($G$2:G52)</f>
        <v>99.726666666666674</v>
      </c>
    </row>
    <row r="53" spans="1:27" x14ac:dyDescent="0.25">
      <c r="A53" s="2">
        <v>80.695999999999998</v>
      </c>
      <c r="B53" s="2">
        <v>0.4</v>
      </c>
      <c r="C53" s="2">
        <v>80.695999999999998</v>
      </c>
      <c r="D53" s="2">
        <v>0.42</v>
      </c>
      <c r="E53" s="2">
        <v>80.695999999999998</v>
      </c>
      <c r="F53" s="2">
        <v>0</v>
      </c>
      <c r="G53" s="2">
        <f t="shared" si="0"/>
        <v>0.27333333333333337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5"/>
      <c r="AA53">
        <f>SUM($G$2:G53)</f>
        <v>100</v>
      </c>
    </row>
    <row r="54" spans="1:27" x14ac:dyDescent="0.25">
      <c r="A54" s="2">
        <v>96.01</v>
      </c>
      <c r="B54" s="2">
        <v>0</v>
      </c>
      <c r="C54" s="2">
        <v>96.01</v>
      </c>
      <c r="D54" s="2">
        <v>0</v>
      </c>
      <c r="E54" s="2">
        <v>96.01</v>
      </c>
      <c r="F54" s="2">
        <v>0</v>
      </c>
      <c r="G54" s="2">
        <f t="shared" si="0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5"/>
      <c r="AA54">
        <f>SUM($G$2:G54)</f>
        <v>100</v>
      </c>
    </row>
    <row r="55" spans="1:27" x14ac:dyDescent="0.25">
      <c r="A55" s="2">
        <v>114.167</v>
      </c>
      <c r="B55" s="2">
        <v>0</v>
      </c>
      <c r="C55" s="2">
        <v>114.167</v>
      </c>
      <c r="D55" s="2">
        <v>0</v>
      </c>
      <c r="E55" s="2">
        <v>114.167</v>
      </c>
      <c r="F55" s="2">
        <v>0</v>
      </c>
      <c r="G55" s="2">
        <f t="shared" si="0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5"/>
      <c r="AA55">
        <f>SUM($G$2:G55)</f>
        <v>100</v>
      </c>
    </row>
    <row r="56" spans="1:27" x14ac:dyDescent="0.25">
      <c r="A56" s="2">
        <v>135.71700000000001</v>
      </c>
      <c r="B56" s="2">
        <v>0</v>
      </c>
      <c r="C56" s="2">
        <v>135.71700000000001</v>
      </c>
      <c r="D56" s="2">
        <v>0</v>
      </c>
      <c r="E56" s="2">
        <v>135.71700000000001</v>
      </c>
      <c r="F56" s="2">
        <v>0</v>
      </c>
      <c r="G56" s="2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5"/>
      <c r="AA56">
        <f>SUM($G$2:G56)</f>
        <v>100</v>
      </c>
    </row>
    <row r="57" spans="1:27" x14ac:dyDescent="0.25">
      <c r="A57" s="2">
        <v>161.393</v>
      </c>
      <c r="B57" s="2">
        <v>0</v>
      </c>
      <c r="C57" s="2">
        <v>161.393</v>
      </c>
      <c r="D57" s="2">
        <v>0</v>
      </c>
      <c r="E57" s="2">
        <v>161.393</v>
      </c>
      <c r="F57" s="2">
        <v>0</v>
      </c>
      <c r="G57" s="2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"/>
      <c r="AA57">
        <f>SUM($G$2:G57)</f>
        <v>100</v>
      </c>
    </row>
    <row r="58" spans="1:27" x14ac:dyDescent="0.25">
      <c r="A58" s="2">
        <v>191.929</v>
      </c>
      <c r="B58" s="2">
        <v>0</v>
      </c>
      <c r="C58" s="2">
        <v>191.929</v>
      </c>
      <c r="D58" s="2">
        <v>0</v>
      </c>
      <c r="E58" s="2">
        <v>191.929</v>
      </c>
      <c r="F58" s="2">
        <v>0</v>
      </c>
      <c r="G58" s="2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5"/>
      <c r="AA58">
        <f>SUM($G$2:G58)</f>
        <v>100</v>
      </c>
    </row>
    <row r="59" spans="1:27" x14ac:dyDescent="0.25">
      <c r="A59" s="2">
        <v>228.24199999999999</v>
      </c>
      <c r="B59" s="2">
        <v>0</v>
      </c>
      <c r="C59" s="2">
        <v>228.24199999999999</v>
      </c>
      <c r="D59" s="2">
        <v>0</v>
      </c>
      <c r="E59" s="2">
        <v>228.24199999999999</v>
      </c>
      <c r="F59" s="2">
        <v>0</v>
      </c>
      <c r="G59" s="2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"/>
      <c r="AA59">
        <f>SUM($G$2:G59)</f>
        <v>100</v>
      </c>
    </row>
    <row r="60" spans="1:27" x14ac:dyDescent="0.25">
      <c r="A60" s="2">
        <v>271.43299999999999</v>
      </c>
      <c r="B60" s="2">
        <v>0</v>
      </c>
      <c r="C60" s="2">
        <v>271.43299999999999</v>
      </c>
      <c r="D60" s="2">
        <v>0</v>
      </c>
      <c r="E60" s="2">
        <v>271.43299999999999</v>
      </c>
      <c r="F60" s="2">
        <v>0</v>
      </c>
      <c r="G60" s="2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5"/>
      <c r="AA60">
        <f>SUM($G$2:G60)</f>
        <v>100</v>
      </c>
    </row>
    <row r="61" spans="1:27" x14ac:dyDescent="0.25">
      <c r="A61" s="2">
        <v>322.78500000000003</v>
      </c>
      <c r="B61" s="2">
        <v>0</v>
      </c>
      <c r="C61" s="2">
        <v>322.78500000000003</v>
      </c>
      <c r="D61" s="2">
        <v>0</v>
      </c>
      <c r="E61" s="2">
        <v>322.78500000000003</v>
      </c>
      <c r="F61" s="2">
        <v>0</v>
      </c>
      <c r="G61" s="2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5"/>
      <c r="AA61">
        <f>SUM($G$2:G61)</f>
        <v>100</v>
      </c>
    </row>
    <row r="62" spans="1:27" x14ac:dyDescent="0.25">
      <c r="A62" s="2">
        <v>383.858</v>
      </c>
      <c r="B62" s="2">
        <v>0</v>
      </c>
      <c r="C62" s="2">
        <v>383.858</v>
      </c>
      <c r="D62" s="2">
        <v>0</v>
      </c>
      <c r="E62" s="2">
        <v>383.858</v>
      </c>
      <c r="F62" s="2">
        <v>0</v>
      </c>
      <c r="G62" s="2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5"/>
      <c r="AA62">
        <f>SUM($G$2:G62)</f>
        <v>100</v>
      </c>
    </row>
    <row r="63" spans="1:27" x14ac:dyDescent="0.25">
      <c r="A63" s="2">
        <v>456.48500000000001</v>
      </c>
      <c r="B63" s="2">
        <v>0</v>
      </c>
      <c r="C63" s="2">
        <v>456.48500000000001</v>
      </c>
      <c r="D63" s="2">
        <v>0</v>
      </c>
      <c r="E63" s="2">
        <v>456.48500000000001</v>
      </c>
      <c r="F63" s="2">
        <v>0</v>
      </c>
      <c r="G63" s="2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5"/>
      <c r="AA63">
        <f>SUM($G$2:G63)</f>
        <v>100</v>
      </c>
    </row>
    <row r="64" spans="1:27" x14ac:dyDescent="0.25">
      <c r="A64" s="2">
        <v>542.86599999999999</v>
      </c>
      <c r="B64" s="2">
        <v>0</v>
      </c>
      <c r="C64" s="2">
        <v>542.86599999999999</v>
      </c>
      <c r="D64" s="2">
        <v>0</v>
      </c>
      <c r="E64" s="2">
        <v>542.86599999999999</v>
      </c>
      <c r="F64" s="2">
        <v>0</v>
      </c>
      <c r="G64" s="2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5"/>
      <c r="AA64">
        <f>SUM($G$2:G64)</f>
        <v>100</v>
      </c>
    </row>
    <row r="65" spans="1:27" x14ac:dyDescent="0.25">
      <c r="A65" s="2">
        <v>645.57100000000003</v>
      </c>
      <c r="B65" s="2">
        <v>0</v>
      </c>
      <c r="C65" s="2">
        <v>645.57100000000003</v>
      </c>
      <c r="D65" s="2">
        <v>0</v>
      </c>
      <c r="E65" s="2">
        <v>645.57100000000003</v>
      </c>
      <c r="F65" s="2">
        <v>0</v>
      </c>
      <c r="G65" s="2">
        <f t="shared" si="0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5"/>
      <c r="AA65">
        <f>SUM($G$2:G65)</f>
        <v>100</v>
      </c>
    </row>
    <row r="66" spans="1:27" x14ac:dyDescent="0.25">
      <c r="A66" s="2">
        <v>767.71600000000001</v>
      </c>
      <c r="B66" s="2">
        <v>0</v>
      </c>
      <c r="C66" s="2">
        <v>767.71600000000001</v>
      </c>
      <c r="D66" s="2">
        <v>0</v>
      </c>
      <c r="E66" s="2">
        <v>767.71600000000001</v>
      </c>
      <c r="F66" s="2">
        <v>0</v>
      </c>
      <c r="G66" s="2">
        <f t="shared" si="0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5"/>
      <c r="AA66">
        <f>SUM($G$2:G66)</f>
        <v>100</v>
      </c>
    </row>
    <row r="67" spans="1:27" x14ac:dyDescent="0.25">
      <c r="A67" s="2">
        <v>912.96900000000005</v>
      </c>
      <c r="B67" s="2">
        <v>0</v>
      </c>
      <c r="C67" s="2">
        <v>912.96900000000005</v>
      </c>
      <c r="D67" s="2">
        <v>0</v>
      </c>
      <c r="E67" s="2">
        <v>912.96900000000005</v>
      </c>
      <c r="F67" s="2">
        <v>0</v>
      </c>
      <c r="G67" s="2">
        <f t="shared" ref="G67:G71" si="1">AVERAGE(B67,D67,F67)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5"/>
      <c r="AA67">
        <f>SUM($G$2:G67)</f>
        <v>100</v>
      </c>
    </row>
    <row r="68" spans="1:27" x14ac:dyDescent="0.25">
      <c r="A68" s="3">
        <v>1085.7329999999999</v>
      </c>
      <c r="B68" s="2">
        <v>0</v>
      </c>
      <c r="C68" s="3">
        <v>1085.7329999999999</v>
      </c>
      <c r="D68" s="2">
        <v>0</v>
      </c>
      <c r="E68" s="3">
        <v>1085.7329999999999</v>
      </c>
      <c r="F68" s="2">
        <v>0</v>
      </c>
      <c r="G68" s="2">
        <f t="shared" si="1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5"/>
      <c r="AA68">
        <f>SUM($G$2:G68)</f>
        <v>100</v>
      </c>
    </row>
    <row r="69" spans="1:27" x14ac:dyDescent="0.25">
      <c r="A69" s="3">
        <v>1291.1420000000001</v>
      </c>
      <c r="B69" s="2">
        <v>0</v>
      </c>
      <c r="C69" s="3">
        <v>1291.1420000000001</v>
      </c>
      <c r="D69" s="2">
        <v>0</v>
      </c>
      <c r="E69" s="3">
        <v>1291.1420000000001</v>
      </c>
      <c r="F69" s="2">
        <v>0</v>
      </c>
      <c r="G69" s="2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5"/>
      <c r="AA69">
        <f>SUM($G$2:G69)</f>
        <v>100</v>
      </c>
    </row>
    <row r="70" spans="1:27" x14ac:dyDescent="0.25">
      <c r="A70" s="3">
        <v>1535.0650000000001</v>
      </c>
      <c r="B70" s="2">
        <v>0</v>
      </c>
      <c r="C70" s="3">
        <v>1535.0650000000001</v>
      </c>
      <c r="D70" s="2">
        <v>0</v>
      </c>
      <c r="E70" s="3">
        <v>1535.0650000000001</v>
      </c>
      <c r="F70" s="2">
        <v>0</v>
      </c>
      <c r="G70" s="2">
        <f t="shared" si="1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5"/>
      <c r="AA70">
        <f>SUM($G$2:G70)</f>
        <v>100</v>
      </c>
    </row>
    <row r="71" spans="1:27" x14ac:dyDescent="0.25">
      <c r="A71" s="3">
        <v>1834.008</v>
      </c>
      <c r="B71" s="2">
        <v>0</v>
      </c>
      <c r="C71" s="3">
        <v>1834.008</v>
      </c>
      <c r="D71" s="2">
        <v>0</v>
      </c>
      <c r="E71" s="3">
        <v>1834.008</v>
      </c>
      <c r="F71" s="2">
        <v>0</v>
      </c>
      <c r="G71" s="2">
        <f t="shared" si="1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5"/>
      <c r="AA71">
        <f>SUM($G$2:G71)</f>
        <v>100</v>
      </c>
    </row>
  </sheetData>
  <pageMargins left="0.78740157499999996" right="0.78740157499999996" top="0.984251969" bottom="0.984251969" header="0.4921259845" footer="0.492125984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1"/>
  <sheetViews>
    <sheetView zoomScale="70" zoomScaleNormal="70" workbookViewId="0">
      <selection activeCell="AO25" sqref="AO25"/>
    </sheetView>
  </sheetViews>
  <sheetFormatPr baseColWidth="10" defaultRowHeight="15" x14ac:dyDescent="0.25"/>
  <cols>
    <col min="1" max="1" width="8" bestFit="1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6" customWidth="1"/>
    <col min="8" max="8" width="2" bestFit="1" customWidth="1"/>
    <col min="9" max="9" width="1.85546875" bestFit="1" customWidth="1"/>
    <col min="10" max="10" width="2" bestFit="1" customWidth="1"/>
    <col min="11" max="11" width="1.85546875" bestFit="1" customWidth="1"/>
    <col min="12" max="12" width="2" bestFit="1" customWidth="1"/>
    <col min="13" max="13" width="1.85546875" bestFit="1" customWidth="1"/>
    <col min="14" max="14" width="2" bestFit="1" customWidth="1"/>
    <col min="15" max="15" width="1.85546875" bestFit="1" customWidth="1"/>
    <col min="16" max="16" width="2" bestFit="1" customWidth="1"/>
    <col min="17" max="17" width="1.85546875" bestFit="1" customWidth="1"/>
    <col min="18" max="18" width="2" bestFit="1" customWidth="1"/>
    <col min="19" max="19" width="1.85546875" bestFit="1" customWidth="1"/>
    <col min="20" max="20" width="2" bestFit="1" customWidth="1"/>
    <col min="21" max="21" width="1.85546875" bestFit="1" customWidth="1"/>
    <col min="22" max="22" width="2" bestFit="1" customWidth="1"/>
    <col min="23" max="23" width="1.85546875" bestFit="1" customWidth="1"/>
    <col min="24" max="24" width="2" bestFit="1" customWidth="1"/>
    <col min="25" max="25" width="1.85546875" bestFit="1" customWidth="1"/>
    <col min="28" max="28" width="13.85546875" bestFit="1" customWidth="1"/>
  </cols>
  <sheetData>
    <row r="1" spans="1:28" ht="30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2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  <c r="M1" s="2" t="s">
        <v>0</v>
      </c>
      <c r="N1" s="2" t="s">
        <v>1</v>
      </c>
      <c r="O1" s="2" t="s">
        <v>0</v>
      </c>
      <c r="P1" s="2" t="s">
        <v>1</v>
      </c>
      <c r="Q1" s="2" t="s">
        <v>0</v>
      </c>
      <c r="R1" s="2" t="s">
        <v>1</v>
      </c>
      <c r="S1" s="2" t="s">
        <v>0</v>
      </c>
      <c r="T1" s="2" t="s">
        <v>1</v>
      </c>
      <c r="U1" s="2" t="s">
        <v>0</v>
      </c>
      <c r="V1" s="2" t="s">
        <v>1</v>
      </c>
      <c r="W1" s="2" t="s">
        <v>0</v>
      </c>
      <c r="X1" s="2" t="s">
        <v>1</v>
      </c>
      <c r="Y1" s="2" t="s">
        <v>1</v>
      </c>
      <c r="Z1" s="6" t="s">
        <v>3</v>
      </c>
      <c r="AA1" s="9"/>
      <c r="AB1" s="10" t="s">
        <v>7</v>
      </c>
    </row>
    <row r="2" spans="1:28" x14ac:dyDescent="0.25">
      <c r="A2" s="2">
        <v>1.2E-2</v>
      </c>
      <c r="B2" s="2">
        <v>0</v>
      </c>
      <c r="C2" s="2">
        <v>1.2E-2</v>
      </c>
      <c r="D2" s="2">
        <v>0</v>
      </c>
      <c r="E2" s="2">
        <v>1.2E-2</v>
      </c>
      <c r="F2" s="2">
        <v>0</v>
      </c>
      <c r="G2" s="2">
        <f>AVERAGE(B2,D2,F2)</f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3" t="s">
        <v>4</v>
      </c>
      <c r="AB2" s="11">
        <f>E45+(10-Z45)*(E46-E45)/(Z46-Z45)</f>
        <v>20.521447806354008</v>
      </c>
    </row>
    <row r="3" spans="1:28" x14ac:dyDescent="0.25">
      <c r="A3" s="2">
        <v>1.4E-2</v>
      </c>
      <c r="B3" s="2">
        <v>0</v>
      </c>
      <c r="C3" s="2">
        <v>1.4E-2</v>
      </c>
      <c r="D3" s="2">
        <v>0</v>
      </c>
      <c r="E3" s="2">
        <v>1.4E-2</v>
      </c>
      <c r="F3" s="2">
        <v>0</v>
      </c>
      <c r="G3" s="2">
        <f t="shared" ref="G3:G66" si="0">AVERAGE(B3,D3,F3)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f>SUM(G$2:$G3)</f>
        <v>0</v>
      </c>
      <c r="AA3" s="12" t="s">
        <v>5</v>
      </c>
      <c r="AB3" s="11">
        <f>E47+(50-Z47)*(E48-E47)/(Z48-Z47)</f>
        <v>32.296701911486139</v>
      </c>
    </row>
    <row r="4" spans="1:28" x14ac:dyDescent="0.25">
      <c r="A4" s="2">
        <v>1.7000000000000001E-2</v>
      </c>
      <c r="B4" s="2">
        <v>0</v>
      </c>
      <c r="C4" s="2">
        <v>1.7000000000000001E-2</v>
      </c>
      <c r="D4" s="2">
        <v>0</v>
      </c>
      <c r="E4" s="2">
        <v>1.7000000000000001E-2</v>
      </c>
      <c r="F4" s="2">
        <v>0</v>
      </c>
      <c r="G4" s="2">
        <f t="shared" si="0"/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f>SUM(G$2:$G4)</f>
        <v>0</v>
      </c>
      <c r="AA4" s="12" t="s">
        <v>6</v>
      </c>
      <c r="AB4" s="11">
        <f>E50+(90-Z50)*(E51-E50)/(Z51-Z50)</f>
        <v>52.053059539918827</v>
      </c>
    </row>
    <row r="5" spans="1:28" x14ac:dyDescent="0.25">
      <c r="A5" s="2">
        <v>0.02</v>
      </c>
      <c r="B5" s="2">
        <v>0</v>
      </c>
      <c r="C5" s="2">
        <v>0.02</v>
      </c>
      <c r="D5" s="2">
        <v>0</v>
      </c>
      <c r="E5" s="2">
        <v>0.02</v>
      </c>
      <c r="F5" s="2">
        <v>0</v>
      </c>
      <c r="G5" s="2">
        <f t="shared" si="0"/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f>SUM(G$2:$G5)</f>
        <v>0</v>
      </c>
    </row>
    <row r="6" spans="1:28" x14ac:dyDescent="0.25">
      <c r="A6" s="2">
        <v>2.3E-2</v>
      </c>
      <c r="B6" s="2">
        <v>0</v>
      </c>
      <c r="C6" s="2">
        <v>2.3E-2</v>
      </c>
      <c r="D6" s="2">
        <v>0</v>
      </c>
      <c r="E6" s="2">
        <v>2.3E-2</v>
      </c>
      <c r="F6" s="2">
        <v>0</v>
      </c>
      <c r="G6" s="2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f>SUM(G$2:$G6)</f>
        <v>0</v>
      </c>
    </row>
    <row r="7" spans="1:28" x14ac:dyDescent="0.25">
      <c r="A7" s="2">
        <v>2.8000000000000001E-2</v>
      </c>
      <c r="B7" s="2">
        <v>0</v>
      </c>
      <c r="C7" s="2">
        <v>2.8000000000000001E-2</v>
      </c>
      <c r="D7" s="2">
        <v>0</v>
      </c>
      <c r="E7" s="2">
        <v>2.8000000000000001E-2</v>
      </c>
      <c r="F7" s="2">
        <v>0</v>
      </c>
      <c r="G7" s="2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f>SUM(G$2:$G7)</f>
        <v>0</v>
      </c>
    </row>
    <row r="8" spans="1:28" x14ac:dyDescent="0.25">
      <c r="A8" s="2">
        <v>3.3000000000000002E-2</v>
      </c>
      <c r="B8" s="2">
        <v>0</v>
      </c>
      <c r="C8" s="2">
        <v>3.3000000000000002E-2</v>
      </c>
      <c r="D8" s="2">
        <v>0</v>
      </c>
      <c r="E8" s="2">
        <v>3.3000000000000002E-2</v>
      </c>
      <c r="F8" s="2">
        <v>0</v>
      </c>
      <c r="G8" s="2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f>SUM(G$2:$G8)</f>
        <v>0</v>
      </c>
    </row>
    <row r="9" spans="1:28" x14ac:dyDescent="0.25">
      <c r="A9" s="2">
        <v>3.9E-2</v>
      </c>
      <c r="B9" s="2">
        <v>0</v>
      </c>
      <c r="C9" s="2">
        <v>3.9E-2</v>
      </c>
      <c r="D9" s="2">
        <v>0</v>
      </c>
      <c r="E9" s="2">
        <v>3.9E-2</v>
      </c>
      <c r="F9" s="2">
        <v>0</v>
      </c>
      <c r="G9" s="2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f>SUM(G$2:$G9)</f>
        <v>0</v>
      </c>
    </row>
    <row r="10" spans="1:28" x14ac:dyDescent="0.25">
      <c r="A10" s="2">
        <v>4.7E-2</v>
      </c>
      <c r="B10" s="2">
        <v>0</v>
      </c>
      <c r="C10" s="2">
        <v>4.7E-2</v>
      </c>
      <c r="D10" s="2">
        <v>0</v>
      </c>
      <c r="E10" s="2">
        <v>4.7E-2</v>
      </c>
      <c r="F10" s="2">
        <v>0</v>
      </c>
      <c r="G10" s="2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f>SUM(G$2:$G10)</f>
        <v>0</v>
      </c>
    </row>
    <row r="11" spans="1:28" x14ac:dyDescent="0.25">
      <c r="A11" s="2">
        <v>5.6000000000000001E-2</v>
      </c>
      <c r="B11" s="2">
        <v>0</v>
      </c>
      <c r="C11" s="2">
        <v>5.6000000000000001E-2</v>
      </c>
      <c r="D11" s="2">
        <v>0</v>
      </c>
      <c r="E11" s="2">
        <v>5.6000000000000001E-2</v>
      </c>
      <c r="F11" s="2">
        <v>0</v>
      </c>
      <c r="G11" s="2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f>SUM(G$2:$G11)</f>
        <v>0</v>
      </c>
    </row>
    <row r="12" spans="1:28" x14ac:dyDescent="0.25">
      <c r="A12" s="2">
        <v>6.6000000000000003E-2</v>
      </c>
      <c r="B12" s="2">
        <v>0</v>
      </c>
      <c r="C12" s="2">
        <v>6.6000000000000003E-2</v>
      </c>
      <c r="D12" s="2">
        <v>0</v>
      </c>
      <c r="E12" s="2">
        <v>6.6000000000000003E-2</v>
      </c>
      <c r="F12" s="2">
        <v>0</v>
      </c>
      <c r="G12" s="2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f>SUM(G$2:$G12)</f>
        <v>0</v>
      </c>
    </row>
    <row r="13" spans="1:28" x14ac:dyDescent="0.25">
      <c r="A13" s="2">
        <v>7.9000000000000001E-2</v>
      </c>
      <c r="B13" s="2">
        <v>0</v>
      </c>
      <c r="C13" s="2">
        <v>7.9000000000000001E-2</v>
      </c>
      <c r="D13" s="2">
        <v>0</v>
      </c>
      <c r="E13" s="2">
        <v>7.9000000000000001E-2</v>
      </c>
      <c r="F13" s="2">
        <v>0</v>
      </c>
      <c r="G13" s="2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f>SUM(G$2:$G13)</f>
        <v>0</v>
      </c>
    </row>
    <row r="14" spans="1:28" x14ac:dyDescent="0.25">
      <c r="A14" s="2">
        <v>9.4E-2</v>
      </c>
      <c r="B14" s="2">
        <v>0</v>
      </c>
      <c r="C14" s="2">
        <v>9.4E-2</v>
      </c>
      <c r="D14" s="2">
        <v>0</v>
      </c>
      <c r="E14" s="2">
        <v>9.4E-2</v>
      </c>
      <c r="F14" s="2">
        <v>0</v>
      </c>
      <c r="G14" s="2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f>SUM(G$2:$G14)</f>
        <v>0</v>
      </c>
    </row>
    <row r="15" spans="1:28" x14ac:dyDescent="0.25">
      <c r="A15" s="2">
        <v>0.112</v>
      </c>
      <c r="B15" s="2">
        <v>0</v>
      </c>
      <c r="C15" s="2">
        <v>0.112</v>
      </c>
      <c r="D15" s="2">
        <v>0</v>
      </c>
      <c r="E15" s="2">
        <v>0.112</v>
      </c>
      <c r="F15" s="2">
        <v>0</v>
      </c>
      <c r="G15" s="2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f>SUM(G$2:$G15)</f>
        <v>0</v>
      </c>
    </row>
    <row r="16" spans="1:28" x14ac:dyDescent="0.25">
      <c r="A16" s="2">
        <v>0.13300000000000001</v>
      </c>
      <c r="B16" s="2">
        <v>0</v>
      </c>
      <c r="C16" s="2">
        <v>0.13300000000000001</v>
      </c>
      <c r="D16" s="2">
        <v>0</v>
      </c>
      <c r="E16" s="2">
        <v>0.13300000000000001</v>
      </c>
      <c r="F16" s="2">
        <v>0</v>
      </c>
      <c r="G16" s="2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f>SUM(G$2:$G16)</f>
        <v>0</v>
      </c>
    </row>
    <row r="17" spans="1:26" x14ac:dyDescent="0.25">
      <c r="A17" s="2">
        <v>0.158</v>
      </c>
      <c r="B17" s="2">
        <v>0</v>
      </c>
      <c r="C17" s="2">
        <v>0.158</v>
      </c>
      <c r="D17" s="2">
        <v>0</v>
      </c>
      <c r="E17" s="2">
        <v>0.158</v>
      </c>
      <c r="F17" s="2">
        <v>0</v>
      </c>
      <c r="G17" s="2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f>SUM(G$2:$G17)</f>
        <v>0</v>
      </c>
    </row>
    <row r="18" spans="1:26" x14ac:dyDescent="0.25">
      <c r="A18" s="2">
        <v>0.187</v>
      </c>
      <c r="B18" s="2">
        <v>0</v>
      </c>
      <c r="C18" s="2">
        <v>0.187</v>
      </c>
      <c r="D18" s="2">
        <v>0</v>
      </c>
      <c r="E18" s="2">
        <v>0.187</v>
      </c>
      <c r="F18" s="2">
        <v>0</v>
      </c>
      <c r="G18" s="2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f>SUM(G$2:$G18)</f>
        <v>0</v>
      </c>
    </row>
    <row r="19" spans="1:26" x14ac:dyDescent="0.25">
      <c r="A19" s="2">
        <v>0.223</v>
      </c>
      <c r="B19" s="2">
        <v>0</v>
      </c>
      <c r="C19" s="2">
        <v>0.223</v>
      </c>
      <c r="D19" s="2">
        <v>0</v>
      </c>
      <c r="E19" s="2">
        <v>0.223</v>
      </c>
      <c r="F19" s="2">
        <v>0</v>
      </c>
      <c r="G19" s="2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f>SUM(G$2:$G19)</f>
        <v>0</v>
      </c>
    </row>
    <row r="20" spans="1:26" x14ac:dyDescent="0.25">
      <c r="A20" s="2">
        <v>0.26500000000000001</v>
      </c>
      <c r="B20" s="2">
        <v>0</v>
      </c>
      <c r="C20" s="2">
        <v>0.26500000000000001</v>
      </c>
      <c r="D20" s="2">
        <v>0</v>
      </c>
      <c r="E20" s="2">
        <v>0.26500000000000001</v>
      </c>
      <c r="F20" s="2">
        <v>0</v>
      </c>
      <c r="G20" s="2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f>SUM(G$2:$G20)</f>
        <v>0</v>
      </c>
    </row>
    <row r="21" spans="1:26" x14ac:dyDescent="0.25">
      <c r="A21" s="2">
        <v>0.315</v>
      </c>
      <c r="B21" s="2">
        <v>0</v>
      </c>
      <c r="C21" s="2">
        <v>0.315</v>
      </c>
      <c r="D21" s="2">
        <v>0</v>
      </c>
      <c r="E21" s="2">
        <v>0.315</v>
      </c>
      <c r="F21" s="2">
        <v>0</v>
      </c>
      <c r="G21" s="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f>SUM(G$2:$G21)</f>
        <v>0</v>
      </c>
    </row>
    <row r="22" spans="1:26" x14ac:dyDescent="0.25">
      <c r="A22" s="2">
        <v>0.375</v>
      </c>
      <c r="B22" s="2">
        <v>0</v>
      </c>
      <c r="C22" s="2">
        <v>0.375</v>
      </c>
      <c r="D22" s="2">
        <v>0</v>
      </c>
      <c r="E22" s="2">
        <v>0.375</v>
      </c>
      <c r="F22" s="2">
        <v>0</v>
      </c>
      <c r="G22" s="2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f>SUM(G$2:$G22)</f>
        <v>0</v>
      </c>
    </row>
    <row r="23" spans="1:26" x14ac:dyDescent="0.25">
      <c r="A23" s="2">
        <v>0.44600000000000001</v>
      </c>
      <c r="B23" s="2">
        <v>0</v>
      </c>
      <c r="C23" s="2">
        <v>0.44600000000000001</v>
      </c>
      <c r="D23" s="2">
        <v>0</v>
      </c>
      <c r="E23" s="2">
        <v>0.44600000000000001</v>
      </c>
      <c r="F23" s="2">
        <v>0</v>
      </c>
      <c r="G23" s="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f>SUM(G$2:$G23)</f>
        <v>0</v>
      </c>
    </row>
    <row r="24" spans="1:26" x14ac:dyDescent="0.25">
      <c r="A24" s="2">
        <v>0.53</v>
      </c>
      <c r="B24" s="2">
        <v>0</v>
      </c>
      <c r="C24" s="2">
        <v>0.53</v>
      </c>
      <c r="D24" s="2">
        <v>0</v>
      </c>
      <c r="E24" s="2">
        <v>0.53</v>
      </c>
      <c r="F24" s="2">
        <v>0</v>
      </c>
      <c r="G24" s="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f>SUM(G$2:$G24)</f>
        <v>0</v>
      </c>
    </row>
    <row r="25" spans="1:26" x14ac:dyDescent="0.25">
      <c r="A25" s="2">
        <v>0.63100000000000001</v>
      </c>
      <c r="B25" s="2">
        <v>0</v>
      </c>
      <c r="C25" s="2">
        <v>0.63100000000000001</v>
      </c>
      <c r="D25" s="2">
        <v>0</v>
      </c>
      <c r="E25" s="2">
        <v>0.63100000000000001</v>
      </c>
      <c r="F25" s="2">
        <v>0</v>
      </c>
      <c r="G25" s="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f>SUM(G$2:$G25)</f>
        <v>0</v>
      </c>
    </row>
    <row r="26" spans="1:26" x14ac:dyDescent="0.25">
      <c r="A26" s="2">
        <v>0.75</v>
      </c>
      <c r="B26" s="2">
        <v>0</v>
      </c>
      <c r="C26" s="2">
        <v>0.75</v>
      </c>
      <c r="D26" s="2">
        <v>0</v>
      </c>
      <c r="E26" s="2">
        <v>0.75</v>
      </c>
      <c r="F26" s="2">
        <v>0</v>
      </c>
      <c r="G26" s="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f>SUM(G$2:$G26)</f>
        <v>0</v>
      </c>
    </row>
    <row r="27" spans="1:26" x14ac:dyDescent="0.25">
      <c r="A27" s="2">
        <v>0.89100000000000001</v>
      </c>
      <c r="B27" s="2">
        <v>0</v>
      </c>
      <c r="C27" s="2">
        <v>0.89100000000000001</v>
      </c>
      <c r="D27" s="2">
        <v>0</v>
      </c>
      <c r="E27" s="2">
        <v>0.89100000000000001</v>
      </c>
      <c r="F27" s="2">
        <v>0</v>
      </c>
      <c r="G27" s="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f>SUM(G$2:$G27)</f>
        <v>0</v>
      </c>
    </row>
    <row r="28" spans="1:26" x14ac:dyDescent="0.25">
      <c r="A28" s="2">
        <v>1.06</v>
      </c>
      <c r="B28" s="2">
        <v>0</v>
      </c>
      <c r="C28" s="2">
        <v>1.06</v>
      </c>
      <c r="D28" s="2">
        <v>0</v>
      </c>
      <c r="E28" s="2">
        <v>1.06</v>
      </c>
      <c r="F28" s="2">
        <v>0</v>
      </c>
      <c r="G28" s="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f>SUM(G$2:$G28)</f>
        <v>0</v>
      </c>
    </row>
    <row r="29" spans="1:26" x14ac:dyDescent="0.25">
      <c r="A29" s="2">
        <v>1.2609999999999999</v>
      </c>
      <c r="B29" s="2">
        <v>0</v>
      </c>
      <c r="C29" s="2">
        <v>1.2609999999999999</v>
      </c>
      <c r="D29" s="2">
        <v>0</v>
      </c>
      <c r="E29" s="2">
        <v>1.2609999999999999</v>
      </c>
      <c r="F29" s="2">
        <v>0</v>
      </c>
      <c r="G29" s="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f>SUM(G$2:$G29)</f>
        <v>0</v>
      </c>
    </row>
    <row r="30" spans="1:26" x14ac:dyDescent="0.25">
      <c r="A30" s="2">
        <v>1.4990000000000001</v>
      </c>
      <c r="B30" s="2">
        <v>0</v>
      </c>
      <c r="C30" s="2">
        <v>1.4990000000000001</v>
      </c>
      <c r="D30" s="2">
        <v>0</v>
      </c>
      <c r="E30" s="2">
        <v>1.4990000000000001</v>
      </c>
      <c r="F30" s="2">
        <v>0</v>
      </c>
      <c r="G30" s="2">
        <f t="shared" si="0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f>SUM(G$2:$G30)</f>
        <v>0</v>
      </c>
    </row>
    <row r="31" spans="1:26" x14ac:dyDescent="0.25">
      <c r="A31" s="2">
        <v>1.784</v>
      </c>
      <c r="B31" s="2">
        <v>0</v>
      </c>
      <c r="C31" s="2">
        <v>1.784</v>
      </c>
      <c r="D31" s="2">
        <v>0</v>
      </c>
      <c r="E31" s="2">
        <v>1.784</v>
      </c>
      <c r="F31" s="2">
        <v>0</v>
      </c>
      <c r="G31" s="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f>SUM(G$2:$G31)</f>
        <v>0</v>
      </c>
    </row>
    <row r="32" spans="1:26" x14ac:dyDescent="0.25">
      <c r="A32" s="2">
        <v>2.121</v>
      </c>
      <c r="B32" s="2">
        <v>0</v>
      </c>
      <c r="C32" s="2">
        <v>2.121</v>
      </c>
      <c r="D32" s="2">
        <v>0</v>
      </c>
      <c r="E32" s="2">
        <v>2.121</v>
      </c>
      <c r="F32" s="2">
        <v>0</v>
      </c>
      <c r="G32" s="2">
        <f t="shared" si="0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f>SUM(G$2:$G32)</f>
        <v>0</v>
      </c>
    </row>
    <row r="33" spans="1:26" x14ac:dyDescent="0.25">
      <c r="A33" s="2">
        <v>2.5219999999999998</v>
      </c>
      <c r="B33" s="2">
        <v>0</v>
      </c>
      <c r="C33" s="2">
        <v>2.5219999999999998</v>
      </c>
      <c r="D33" s="2">
        <v>0</v>
      </c>
      <c r="E33" s="2">
        <v>2.5219999999999998</v>
      </c>
      <c r="F33" s="2">
        <v>0</v>
      </c>
      <c r="G33" s="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f>SUM(G$2:$G33)</f>
        <v>0</v>
      </c>
    </row>
    <row r="34" spans="1:26" x14ac:dyDescent="0.25">
      <c r="A34" s="2">
        <v>2.9990000000000001</v>
      </c>
      <c r="B34" s="2">
        <v>0</v>
      </c>
      <c r="C34" s="2">
        <v>2.9990000000000001</v>
      </c>
      <c r="D34" s="2">
        <v>0</v>
      </c>
      <c r="E34" s="2">
        <v>2.9990000000000001</v>
      </c>
      <c r="F34" s="2">
        <v>0</v>
      </c>
      <c r="G34" s="2">
        <f t="shared" si="0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f>SUM(G$2:$G34)</f>
        <v>0</v>
      </c>
    </row>
    <row r="35" spans="1:26" x14ac:dyDescent="0.25">
      <c r="A35" s="2">
        <v>3.5670000000000002</v>
      </c>
      <c r="B35" s="2">
        <v>0</v>
      </c>
      <c r="C35" s="2">
        <v>3.5670000000000002</v>
      </c>
      <c r="D35" s="2">
        <v>0</v>
      </c>
      <c r="E35" s="2">
        <v>3.5670000000000002</v>
      </c>
      <c r="F35" s="2">
        <v>0</v>
      </c>
      <c r="G35" s="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f>SUM(G$2:$G35)</f>
        <v>0</v>
      </c>
    </row>
    <row r="36" spans="1:26" x14ac:dyDescent="0.25">
      <c r="A36" s="2">
        <v>4.2460000000000004</v>
      </c>
      <c r="B36" s="2">
        <v>0</v>
      </c>
      <c r="C36" s="2">
        <v>4.2460000000000004</v>
      </c>
      <c r="D36" s="2">
        <v>0</v>
      </c>
      <c r="E36" s="2">
        <v>4.2460000000000004</v>
      </c>
      <c r="F36" s="2">
        <v>0</v>
      </c>
      <c r="G36" s="2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f>SUM(G$2:$G36)</f>
        <v>0</v>
      </c>
    </row>
    <row r="37" spans="1:26" x14ac:dyDescent="0.25">
      <c r="A37" s="2">
        <v>5.0439999999999996</v>
      </c>
      <c r="B37" s="2">
        <v>0</v>
      </c>
      <c r="C37" s="2">
        <v>5.0439999999999996</v>
      </c>
      <c r="D37" s="2">
        <v>0</v>
      </c>
      <c r="E37" s="2">
        <v>5.0439999999999996</v>
      </c>
      <c r="F37" s="2">
        <v>0</v>
      </c>
      <c r="G37" s="2">
        <f t="shared" si="0"/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f>SUM(G$2:$G37)</f>
        <v>0</v>
      </c>
    </row>
    <row r="38" spans="1:26" x14ac:dyDescent="0.25">
      <c r="A38" s="2">
        <v>5.9969999999999999</v>
      </c>
      <c r="B38" s="2">
        <v>0</v>
      </c>
      <c r="C38" s="2">
        <v>5.9969999999999999</v>
      </c>
      <c r="D38" s="2">
        <v>0</v>
      </c>
      <c r="E38" s="2">
        <v>5.9969999999999999</v>
      </c>
      <c r="F38" s="2">
        <v>0</v>
      </c>
      <c r="G38" s="2">
        <f t="shared" si="0"/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f>SUM(G$2:$G38)</f>
        <v>0</v>
      </c>
    </row>
    <row r="39" spans="1:26" x14ac:dyDescent="0.25">
      <c r="A39" s="2">
        <v>7.1340000000000003</v>
      </c>
      <c r="B39" s="2">
        <v>0</v>
      </c>
      <c r="C39" s="2">
        <v>7.1340000000000003</v>
      </c>
      <c r="D39" s="2">
        <v>0</v>
      </c>
      <c r="E39" s="2">
        <v>7.1340000000000003</v>
      </c>
      <c r="F39" s="2">
        <v>0</v>
      </c>
      <c r="G39" s="2">
        <f t="shared" si="0"/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f>SUM(G$2:$G39)</f>
        <v>0</v>
      </c>
    </row>
    <row r="40" spans="1:26" x14ac:dyDescent="0.25">
      <c r="A40" s="2">
        <v>8.4819999999999993</v>
      </c>
      <c r="B40" s="2">
        <v>0</v>
      </c>
      <c r="C40" s="2">
        <v>8.4819999999999993</v>
      </c>
      <c r="D40" s="2">
        <v>0</v>
      </c>
      <c r="E40" s="2">
        <v>8.4819999999999993</v>
      </c>
      <c r="F40" s="2">
        <v>0</v>
      </c>
      <c r="G40" s="2">
        <f t="shared" si="0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f>SUM(G$2:$G40)</f>
        <v>0</v>
      </c>
    </row>
    <row r="41" spans="1:26" x14ac:dyDescent="0.25">
      <c r="A41" s="2">
        <v>10.087</v>
      </c>
      <c r="B41" s="2">
        <v>0</v>
      </c>
      <c r="C41" s="2">
        <v>10.087</v>
      </c>
      <c r="D41" s="2">
        <v>0</v>
      </c>
      <c r="E41" s="2">
        <v>10.087</v>
      </c>
      <c r="F41" s="2">
        <v>0</v>
      </c>
      <c r="G41" s="2">
        <f t="shared" si="0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f>SUM(G$2:$G41)</f>
        <v>0</v>
      </c>
    </row>
    <row r="42" spans="1:26" x14ac:dyDescent="0.25">
      <c r="A42" s="2">
        <v>11.994</v>
      </c>
      <c r="B42" s="2">
        <v>0</v>
      </c>
      <c r="C42" s="2">
        <v>11.994</v>
      </c>
      <c r="D42" s="2">
        <v>0</v>
      </c>
      <c r="E42" s="2">
        <v>11.994</v>
      </c>
      <c r="F42" s="2">
        <v>0</v>
      </c>
      <c r="G42" s="2">
        <f>AVERAGE(B42,D42,F42)</f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f>SUM(G$2:$G42)</f>
        <v>0</v>
      </c>
    </row>
    <row r="43" spans="1:26" x14ac:dyDescent="0.25">
      <c r="A43" s="2">
        <v>14.269</v>
      </c>
      <c r="B43" s="2">
        <v>0.78</v>
      </c>
      <c r="C43" s="2">
        <v>14.269</v>
      </c>
      <c r="D43" s="2">
        <v>0.81</v>
      </c>
      <c r="E43" s="2">
        <v>14.269</v>
      </c>
      <c r="F43" s="2">
        <v>0.79</v>
      </c>
      <c r="G43" s="2">
        <f t="shared" si="0"/>
        <v>0.79333333333333333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f>SUM(G$2:$G43)</f>
        <v>0.79333333333333333</v>
      </c>
    </row>
    <row r="44" spans="1:26" x14ac:dyDescent="0.25">
      <c r="A44" s="2">
        <v>16.965</v>
      </c>
      <c r="B44" s="2">
        <v>2.41</v>
      </c>
      <c r="C44" s="2">
        <v>16.965</v>
      </c>
      <c r="D44" s="2">
        <v>2.42</v>
      </c>
      <c r="E44" s="2">
        <v>16.965</v>
      </c>
      <c r="F44" s="2">
        <v>2.38</v>
      </c>
      <c r="G44" s="2">
        <f t="shared" si="0"/>
        <v>2.4033333333333333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f>SUM(G$2:$G44)</f>
        <v>3.1966666666666668</v>
      </c>
    </row>
    <row r="45" spans="1:26" x14ac:dyDescent="0.25">
      <c r="A45" s="2">
        <v>20.173999999999999</v>
      </c>
      <c r="B45" s="2">
        <v>5.86</v>
      </c>
      <c r="C45" s="2">
        <v>20.173999999999999</v>
      </c>
      <c r="D45" s="2">
        <v>5.79</v>
      </c>
      <c r="E45" s="2">
        <v>20.173999999999999</v>
      </c>
      <c r="F45" s="2">
        <v>5.75</v>
      </c>
      <c r="G45" s="2">
        <f t="shared" si="0"/>
        <v>5.8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f>SUM(G$2:$G45)</f>
        <v>8.9966666666666661</v>
      </c>
    </row>
    <row r="46" spans="1:26" x14ac:dyDescent="0.25">
      <c r="A46" s="2">
        <v>23.989000000000001</v>
      </c>
      <c r="B46" s="2">
        <v>11.12</v>
      </c>
      <c r="C46" s="2">
        <v>23.989000000000001</v>
      </c>
      <c r="D46" s="2">
        <v>10.97</v>
      </c>
      <c r="E46" s="2">
        <v>23.989000000000001</v>
      </c>
      <c r="F46" s="2">
        <v>10.96</v>
      </c>
      <c r="G46" s="2">
        <f t="shared" si="0"/>
        <v>11.016666666666666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f>SUM(G$2:$G46)</f>
        <v>20.013333333333332</v>
      </c>
    </row>
    <row r="47" spans="1:26" x14ac:dyDescent="0.25">
      <c r="A47" s="2">
        <v>28.527999999999999</v>
      </c>
      <c r="B47" s="2">
        <v>16.510000000000002</v>
      </c>
      <c r="C47" s="2">
        <v>28.527999999999999</v>
      </c>
      <c r="D47" s="2">
        <v>16.440000000000001</v>
      </c>
      <c r="E47" s="2">
        <v>28.527999999999999</v>
      </c>
      <c r="F47" s="2">
        <v>16.489999999999998</v>
      </c>
      <c r="G47" s="2">
        <f t="shared" si="0"/>
        <v>16.48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f>SUM(G$2:$G47)</f>
        <v>36.493333333333332</v>
      </c>
    </row>
    <row r="48" spans="1:26" x14ac:dyDescent="0.25">
      <c r="A48" s="2">
        <v>33.929000000000002</v>
      </c>
      <c r="B48" s="2">
        <v>19.23</v>
      </c>
      <c r="C48" s="2">
        <v>33.929000000000002</v>
      </c>
      <c r="D48" s="2">
        <v>19.37</v>
      </c>
      <c r="E48" s="2">
        <v>33.929000000000002</v>
      </c>
      <c r="F48" s="2">
        <v>19.47</v>
      </c>
      <c r="G48" s="2">
        <f t="shared" si="0"/>
        <v>19.356666666666666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f>SUM(G$2:$G48)</f>
        <v>55.849999999999994</v>
      </c>
    </row>
    <row r="49" spans="1:26" x14ac:dyDescent="0.25">
      <c r="A49" s="2">
        <v>40.347999999999999</v>
      </c>
      <c r="B49" s="2">
        <v>17.670000000000002</v>
      </c>
      <c r="C49" s="2">
        <v>40.347999999999999</v>
      </c>
      <c r="D49" s="2">
        <v>17.940000000000001</v>
      </c>
      <c r="E49" s="2">
        <v>40.347999999999999</v>
      </c>
      <c r="F49" s="2">
        <v>18.03</v>
      </c>
      <c r="G49" s="2">
        <f t="shared" si="0"/>
        <v>17.88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f>SUM(G$2:$G49)</f>
        <v>73.72999999999999</v>
      </c>
    </row>
    <row r="50" spans="1:26" x14ac:dyDescent="0.25">
      <c r="A50" s="2">
        <v>47.987000000000002</v>
      </c>
      <c r="B50" s="2">
        <v>12.82</v>
      </c>
      <c r="C50" s="2">
        <v>47.987000000000002</v>
      </c>
      <c r="D50" s="2">
        <v>13.02</v>
      </c>
      <c r="E50" s="2">
        <v>47.987000000000002</v>
      </c>
      <c r="F50" s="2">
        <v>13.04</v>
      </c>
      <c r="G50" s="2">
        <f t="shared" si="0"/>
        <v>12.959999999999999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f>SUM(G$2:$G50)</f>
        <v>86.689999999999984</v>
      </c>
    </row>
    <row r="51" spans="1:26" x14ac:dyDescent="0.25">
      <c r="A51" s="2">
        <v>57.064999999999998</v>
      </c>
      <c r="B51" s="2">
        <v>7.4</v>
      </c>
      <c r="C51" s="2">
        <v>57.064999999999998</v>
      </c>
      <c r="D51" s="2">
        <v>7.4</v>
      </c>
      <c r="E51" s="2">
        <v>57.064999999999998</v>
      </c>
      <c r="F51" s="2">
        <v>7.37</v>
      </c>
      <c r="G51" s="2">
        <f t="shared" si="0"/>
        <v>7.3900000000000006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f>SUM(G$2:$G51)</f>
        <v>94.079999999999984</v>
      </c>
    </row>
    <row r="52" spans="1:26" x14ac:dyDescent="0.25">
      <c r="A52" s="2">
        <v>67.858000000000004</v>
      </c>
      <c r="B52" s="2">
        <v>3.85</v>
      </c>
      <c r="C52" s="2">
        <v>67.858000000000004</v>
      </c>
      <c r="D52" s="2">
        <v>3.72</v>
      </c>
      <c r="E52" s="2">
        <v>67.858000000000004</v>
      </c>
      <c r="F52" s="2">
        <v>3.67</v>
      </c>
      <c r="G52" s="2">
        <f t="shared" si="0"/>
        <v>3.7466666666666666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f>SUM(G$2:$G52)</f>
        <v>97.826666666666654</v>
      </c>
    </row>
    <row r="53" spans="1:26" x14ac:dyDescent="0.25">
      <c r="A53" s="2">
        <v>80.695999999999998</v>
      </c>
      <c r="B53" s="2">
        <v>1.67</v>
      </c>
      <c r="C53" s="2">
        <v>80.695999999999998</v>
      </c>
      <c r="D53" s="2">
        <v>1.49</v>
      </c>
      <c r="E53" s="2">
        <v>80.695999999999998</v>
      </c>
      <c r="F53" s="2">
        <v>1.46</v>
      </c>
      <c r="G53" s="2">
        <f t="shared" si="0"/>
        <v>1.54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f>SUM(G$2:$G53)</f>
        <v>99.36666666666666</v>
      </c>
    </row>
    <row r="54" spans="1:26" x14ac:dyDescent="0.25">
      <c r="A54" s="2">
        <v>96.01</v>
      </c>
      <c r="B54" s="2">
        <v>0.68</v>
      </c>
      <c r="C54" s="2">
        <v>96.01</v>
      </c>
      <c r="D54" s="2">
        <v>0.63</v>
      </c>
      <c r="E54" s="2">
        <v>96.01</v>
      </c>
      <c r="F54" s="2">
        <v>0.59</v>
      </c>
      <c r="G54" s="2">
        <f t="shared" si="0"/>
        <v>0.6333333333333333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f>SUM(G$2:$G54)</f>
        <v>100</v>
      </c>
    </row>
    <row r="55" spans="1:26" x14ac:dyDescent="0.25">
      <c r="A55" s="2">
        <v>114.167</v>
      </c>
      <c r="B55" s="2">
        <v>0</v>
      </c>
      <c r="C55" s="2">
        <v>114.167</v>
      </c>
      <c r="D55" s="2">
        <v>0</v>
      </c>
      <c r="E55" s="2">
        <v>114.167</v>
      </c>
      <c r="F55" s="2">
        <v>0</v>
      </c>
      <c r="G55" s="2">
        <f t="shared" si="0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f>SUM(G$2:$G55)</f>
        <v>100</v>
      </c>
    </row>
    <row r="56" spans="1:26" x14ac:dyDescent="0.25">
      <c r="A56" s="2">
        <v>135.71700000000001</v>
      </c>
      <c r="B56" s="2">
        <v>0</v>
      </c>
      <c r="C56" s="2">
        <v>135.71700000000001</v>
      </c>
      <c r="D56" s="2">
        <v>0</v>
      </c>
      <c r="E56" s="2">
        <v>135.71700000000001</v>
      </c>
      <c r="F56" s="2">
        <v>0</v>
      </c>
      <c r="G56" s="2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f>SUM(G$2:$G56)</f>
        <v>100</v>
      </c>
    </row>
    <row r="57" spans="1:26" x14ac:dyDescent="0.25">
      <c r="A57" s="2">
        <v>161.393</v>
      </c>
      <c r="B57" s="2">
        <v>0</v>
      </c>
      <c r="C57" s="2">
        <v>161.393</v>
      </c>
      <c r="D57" s="2">
        <v>0</v>
      </c>
      <c r="E57" s="2">
        <v>161.393</v>
      </c>
      <c r="F57" s="2">
        <v>0</v>
      </c>
      <c r="G57" s="2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f>SUM(G$2:$G57)</f>
        <v>100</v>
      </c>
    </row>
    <row r="58" spans="1:26" x14ac:dyDescent="0.25">
      <c r="A58" s="2">
        <v>191.929</v>
      </c>
      <c r="B58" s="2">
        <v>0</v>
      </c>
      <c r="C58" s="2">
        <v>191.929</v>
      </c>
      <c r="D58" s="2">
        <v>0</v>
      </c>
      <c r="E58" s="2">
        <v>191.929</v>
      </c>
      <c r="F58" s="2">
        <v>0</v>
      </c>
      <c r="G58" s="2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f>SUM(G$2:$G58)</f>
        <v>100</v>
      </c>
    </row>
    <row r="59" spans="1:26" x14ac:dyDescent="0.25">
      <c r="A59" s="2">
        <v>228.24199999999999</v>
      </c>
      <c r="B59" s="2">
        <v>0</v>
      </c>
      <c r="C59" s="2">
        <v>228.24199999999999</v>
      </c>
      <c r="D59" s="2">
        <v>0</v>
      </c>
      <c r="E59" s="2">
        <v>228.24199999999999</v>
      </c>
      <c r="F59" s="2">
        <v>0</v>
      </c>
      <c r="G59" s="2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f>SUM(G$2:$G59)</f>
        <v>100</v>
      </c>
    </row>
    <row r="60" spans="1:26" x14ac:dyDescent="0.25">
      <c r="A60" s="2">
        <v>271.43299999999999</v>
      </c>
      <c r="B60" s="2">
        <v>0</v>
      </c>
      <c r="C60" s="2">
        <v>271.43299999999999</v>
      </c>
      <c r="D60" s="2">
        <v>0</v>
      </c>
      <c r="E60" s="2">
        <v>271.43299999999999</v>
      </c>
      <c r="F60" s="2">
        <v>0</v>
      </c>
      <c r="G60" s="2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f>SUM(G$2:$G60)</f>
        <v>100</v>
      </c>
    </row>
    <row r="61" spans="1:26" x14ac:dyDescent="0.25">
      <c r="A61" s="2">
        <v>322.78500000000003</v>
      </c>
      <c r="B61" s="2">
        <v>0</v>
      </c>
      <c r="C61" s="2">
        <v>322.78500000000003</v>
      </c>
      <c r="D61" s="2">
        <v>0</v>
      </c>
      <c r="E61" s="2">
        <v>322.78500000000003</v>
      </c>
      <c r="F61" s="2">
        <v>0</v>
      </c>
      <c r="G61" s="2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f>SUM(G$2:$G61)</f>
        <v>100</v>
      </c>
    </row>
    <row r="62" spans="1:26" x14ac:dyDescent="0.25">
      <c r="A62" s="2">
        <v>383.858</v>
      </c>
      <c r="B62" s="2">
        <v>0</v>
      </c>
      <c r="C62" s="2">
        <v>383.858</v>
      </c>
      <c r="D62" s="2">
        <v>0</v>
      </c>
      <c r="E62" s="2">
        <v>383.858</v>
      </c>
      <c r="F62" s="2">
        <v>0</v>
      </c>
      <c r="G62" s="2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f>SUM(G$2:$G62)</f>
        <v>100</v>
      </c>
    </row>
    <row r="63" spans="1:26" x14ac:dyDescent="0.25">
      <c r="A63" s="2">
        <v>456.48500000000001</v>
      </c>
      <c r="B63" s="2">
        <v>0</v>
      </c>
      <c r="C63" s="2">
        <v>456.48500000000001</v>
      </c>
      <c r="D63" s="2">
        <v>0</v>
      </c>
      <c r="E63" s="2">
        <v>456.48500000000001</v>
      </c>
      <c r="F63" s="2">
        <v>0</v>
      </c>
      <c r="G63" s="2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f>SUM(G$2:$G63)</f>
        <v>100</v>
      </c>
    </row>
    <row r="64" spans="1:26" x14ac:dyDescent="0.25">
      <c r="A64" s="2">
        <v>542.86599999999999</v>
      </c>
      <c r="B64" s="2">
        <v>0</v>
      </c>
      <c r="C64" s="2">
        <v>542.86599999999999</v>
      </c>
      <c r="D64" s="2">
        <v>0</v>
      </c>
      <c r="E64" s="2">
        <v>542.86599999999999</v>
      </c>
      <c r="F64" s="2">
        <v>0</v>
      </c>
      <c r="G64" s="2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f>SUM(G$2:$G64)</f>
        <v>100</v>
      </c>
    </row>
    <row r="65" spans="1:26" x14ac:dyDescent="0.25">
      <c r="A65" s="2">
        <v>645.57100000000003</v>
      </c>
      <c r="B65" s="2">
        <v>0</v>
      </c>
      <c r="C65" s="2">
        <v>645.57100000000003</v>
      </c>
      <c r="D65" s="2">
        <v>0</v>
      </c>
      <c r="E65" s="2">
        <v>645.57100000000003</v>
      </c>
      <c r="F65" s="2">
        <v>0</v>
      </c>
      <c r="G65" s="2">
        <f t="shared" si="0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f>SUM(G$2:$G65)</f>
        <v>100</v>
      </c>
    </row>
    <row r="66" spans="1:26" x14ac:dyDescent="0.25">
      <c r="A66" s="2">
        <v>767.71600000000001</v>
      </c>
      <c r="B66" s="2">
        <v>0</v>
      </c>
      <c r="C66" s="2">
        <v>767.71600000000001</v>
      </c>
      <c r="D66" s="2">
        <v>0</v>
      </c>
      <c r="E66" s="2">
        <v>767.71600000000001</v>
      </c>
      <c r="F66" s="2">
        <v>0</v>
      </c>
      <c r="G66" s="2">
        <f t="shared" si="0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f>SUM(G$2:$G66)</f>
        <v>100</v>
      </c>
    </row>
    <row r="67" spans="1:26" x14ac:dyDescent="0.25">
      <c r="A67" s="2">
        <v>912.96900000000005</v>
      </c>
      <c r="B67" s="2">
        <v>0</v>
      </c>
      <c r="C67" s="2">
        <v>912.96900000000005</v>
      </c>
      <c r="D67" s="2">
        <v>0</v>
      </c>
      <c r="E67" s="2">
        <v>912.96900000000005</v>
      </c>
      <c r="F67" s="2">
        <v>0</v>
      </c>
      <c r="G67" s="2">
        <f t="shared" ref="G67:G71" si="1">AVERAGE(B67,D67,F67)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f>SUM(G$2:$G67)</f>
        <v>100</v>
      </c>
    </row>
    <row r="68" spans="1:26" x14ac:dyDescent="0.25">
      <c r="A68" s="3">
        <v>1085.7329999999999</v>
      </c>
      <c r="B68" s="2">
        <v>0</v>
      </c>
      <c r="C68" s="3">
        <v>1085.7329999999999</v>
      </c>
      <c r="D68" s="2">
        <v>0</v>
      </c>
      <c r="E68" s="3">
        <v>1085.7329999999999</v>
      </c>
      <c r="F68" s="2">
        <v>0</v>
      </c>
      <c r="G68" s="2">
        <f t="shared" si="1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f>SUM(G$2:$G68)</f>
        <v>100</v>
      </c>
    </row>
    <row r="69" spans="1:26" x14ac:dyDescent="0.25">
      <c r="A69" s="3">
        <v>1291.1420000000001</v>
      </c>
      <c r="B69" s="2">
        <v>0</v>
      </c>
      <c r="C69" s="3">
        <v>1291.1420000000001</v>
      </c>
      <c r="D69" s="2">
        <v>0</v>
      </c>
      <c r="E69" s="3">
        <v>1291.1420000000001</v>
      </c>
      <c r="F69" s="2">
        <v>0</v>
      </c>
      <c r="G69" s="2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f>SUM(G$2:$G69)</f>
        <v>100</v>
      </c>
    </row>
    <row r="70" spans="1:26" x14ac:dyDescent="0.25">
      <c r="A70" s="3">
        <v>1535.0650000000001</v>
      </c>
      <c r="B70" s="2">
        <v>0</v>
      </c>
      <c r="C70" s="3">
        <v>1535.0650000000001</v>
      </c>
      <c r="D70" s="2">
        <v>0</v>
      </c>
      <c r="E70" s="3">
        <v>1535.0650000000001</v>
      </c>
      <c r="F70" s="2">
        <v>0</v>
      </c>
      <c r="G70" s="2">
        <f t="shared" si="1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f>SUM(G$2:$G70)</f>
        <v>100</v>
      </c>
    </row>
    <row r="71" spans="1:26" x14ac:dyDescent="0.25">
      <c r="A71" s="3">
        <v>1834.008</v>
      </c>
      <c r="B71" s="2">
        <v>0</v>
      </c>
      <c r="C71" s="3">
        <v>1834.008</v>
      </c>
      <c r="D71" s="2">
        <v>0</v>
      </c>
      <c r="E71" s="3">
        <v>1834.008</v>
      </c>
      <c r="F71" s="2">
        <v>0</v>
      </c>
      <c r="G71" s="2">
        <f t="shared" si="1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f>SUM(G$2:$G71)</f>
        <v>100</v>
      </c>
    </row>
  </sheetData>
  <pageMargins left="0.78740157499999996" right="0.78740157499999996" top="0.984251969" bottom="0.984251969" header="0.4921259845" footer="0.492125984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1"/>
  <sheetViews>
    <sheetView zoomScale="70" zoomScaleNormal="70" workbookViewId="0">
      <selection activeCell="G47" sqref="G47"/>
    </sheetView>
  </sheetViews>
  <sheetFormatPr baseColWidth="10" defaultRowHeight="15" x14ac:dyDescent="0.25"/>
  <cols>
    <col min="1" max="1" width="8" bestFit="1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6" customWidth="1"/>
    <col min="8" max="8" width="2" bestFit="1" customWidth="1"/>
    <col min="9" max="9" width="1.85546875" bestFit="1" customWidth="1"/>
    <col min="10" max="10" width="2" bestFit="1" customWidth="1"/>
    <col min="11" max="11" width="1.85546875" bestFit="1" customWidth="1"/>
    <col min="12" max="12" width="2" bestFit="1" customWidth="1"/>
    <col min="13" max="13" width="1.85546875" bestFit="1" customWidth="1"/>
    <col min="14" max="14" width="2" bestFit="1" customWidth="1"/>
    <col min="15" max="15" width="1.85546875" bestFit="1" customWidth="1"/>
    <col min="16" max="16" width="2" bestFit="1" customWidth="1"/>
    <col min="17" max="17" width="1.85546875" bestFit="1" customWidth="1"/>
    <col min="18" max="18" width="2" bestFit="1" customWidth="1"/>
    <col min="19" max="19" width="1.85546875" bestFit="1" customWidth="1"/>
    <col min="20" max="20" width="2" bestFit="1" customWidth="1"/>
    <col min="21" max="21" width="1.85546875" bestFit="1" customWidth="1"/>
    <col min="22" max="22" width="2" bestFit="1" customWidth="1"/>
    <col min="23" max="23" width="1.85546875" bestFit="1" customWidth="1"/>
    <col min="24" max="24" width="2" bestFit="1" customWidth="1"/>
    <col min="25" max="25" width="1.85546875" bestFit="1" customWidth="1"/>
    <col min="28" max="28" width="13.85546875" bestFit="1" customWidth="1"/>
  </cols>
  <sheetData>
    <row r="1" spans="1:28" ht="30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2</v>
      </c>
      <c r="H1" s="2" t="s">
        <v>0</v>
      </c>
      <c r="I1" s="2" t="s">
        <v>1</v>
      </c>
      <c r="J1" s="2" t="s">
        <v>0</v>
      </c>
      <c r="K1" s="2" t="s">
        <v>1</v>
      </c>
      <c r="L1" s="2" t="s">
        <v>0</v>
      </c>
      <c r="M1" s="2" t="s">
        <v>1</v>
      </c>
      <c r="N1" s="2" t="s">
        <v>0</v>
      </c>
      <c r="O1" s="2" t="s">
        <v>1</v>
      </c>
      <c r="P1" s="2" t="s">
        <v>0</v>
      </c>
      <c r="Q1" s="2" t="s">
        <v>1</v>
      </c>
      <c r="R1" s="2" t="s">
        <v>0</v>
      </c>
      <c r="S1" s="2" t="s">
        <v>1</v>
      </c>
      <c r="T1" s="2" t="s">
        <v>0</v>
      </c>
      <c r="U1" s="2" t="s">
        <v>1</v>
      </c>
      <c r="V1" s="2" t="s">
        <v>0</v>
      </c>
      <c r="W1" s="2" t="s">
        <v>1</v>
      </c>
      <c r="X1" s="2" t="s">
        <v>0</v>
      </c>
      <c r="Y1" s="2" t="s">
        <v>1</v>
      </c>
      <c r="Z1" s="6" t="s">
        <v>3</v>
      </c>
      <c r="AA1" s="9"/>
      <c r="AB1" s="10" t="s">
        <v>7</v>
      </c>
    </row>
    <row r="2" spans="1:28" x14ac:dyDescent="0.25">
      <c r="A2" s="2">
        <v>1.2E-2</v>
      </c>
      <c r="B2" s="2">
        <v>0</v>
      </c>
      <c r="C2" s="2">
        <v>1.2E-2</v>
      </c>
      <c r="D2" s="2">
        <v>0</v>
      </c>
      <c r="E2" s="2">
        <v>1.2E-2</v>
      </c>
      <c r="F2" s="2">
        <v>0</v>
      </c>
      <c r="G2" s="2">
        <f>AVERAGE(B2,D2,F2)</f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3" t="s">
        <v>4</v>
      </c>
      <c r="AB2" s="11">
        <f>E45+(10-Z45)*(E46-E45)/(Z46-Z45)</f>
        <v>20.468142028985508</v>
      </c>
    </row>
    <row r="3" spans="1:28" x14ac:dyDescent="0.25">
      <c r="A3" s="2">
        <v>1.4E-2</v>
      </c>
      <c r="B3" s="2">
        <v>0</v>
      </c>
      <c r="C3" s="2">
        <v>1.4E-2</v>
      </c>
      <c r="D3" s="2">
        <v>0</v>
      </c>
      <c r="E3" s="2">
        <v>1.4E-2</v>
      </c>
      <c r="F3" s="2">
        <v>0</v>
      </c>
      <c r="G3" s="2">
        <f t="shared" ref="G3:G66" si="0">AVERAGE(B3,D3,F3)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f>SUM(G$2:$G3)</f>
        <v>0</v>
      </c>
      <c r="AA3" s="12" t="s">
        <v>5</v>
      </c>
      <c r="AB3" s="11">
        <f>E47+(50-Z47)*(E48-E47)/(Z48-Z47)</f>
        <v>31.20314130272768</v>
      </c>
    </row>
    <row r="4" spans="1:28" x14ac:dyDescent="0.25">
      <c r="A4" s="2">
        <v>1.7000000000000001E-2</v>
      </c>
      <c r="B4" s="2">
        <v>0</v>
      </c>
      <c r="C4" s="2">
        <v>1.7000000000000001E-2</v>
      </c>
      <c r="D4" s="2">
        <v>0</v>
      </c>
      <c r="E4" s="2">
        <v>1.7000000000000001E-2</v>
      </c>
      <c r="F4" s="2">
        <v>0</v>
      </c>
      <c r="G4" s="2">
        <f t="shared" si="0"/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f>SUM(G$2:$G4)</f>
        <v>0</v>
      </c>
      <c r="AA4" s="12" t="s">
        <v>6</v>
      </c>
      <c r="AB4" s="11">
        <f>E49+(90-Z49)*(E50-E49)/(Z50-Z49)</f>
        <v>46.015303576379267</v>
      </c>
    </row>
    <row r="5" spans="1:28" x14ac:dyDescent="0.25">
      <c r="A5" s="2">
        <v>0.02</v>
      </c>
      <c r="B5" s="2">
        <v>0</v>
      </c>
      <c r="C5" s="2">
        <v>0.02</v>
      </c>
      <c r="D5" s="2">
        <v>0</v>
      </c>
      <c r="E5" s="2">
        <v>0.02</v>
      </c>
      <c r="F5" s="2">
        <v>0</v>
      </c>
      <c r="G5" s="2">
        <f t="shared" si="0"/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f>SUM(G$2:$G5)</f>
        <v>0</v>
      </c>
    </row>
    <row r="6" spans="1:28" x14ac:dyDescent="0.25">
      <c r="A6" s="2">
        <v>2.3E-2</v>
      </c>
      <c r="B6" s="2">
        <v>0</v>
      </c>
      <c r="C6" s="2">
        <v>2.3E-2</v>
      </c>
      <c r="D6" s="2">
        <v>0</v>
      </c>
      <c r="E6" s="2">
        <v>2.3E-2</v>
      </c>
      <c r="F6" s="2">
        <v>0</v>
      </c>
      <c r="G6" s="2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f>SUM(G$2:$G6)</f>
        <v>0</v>
      </c>
    </row>
    <row r="7" spans="1:28" x14ac:dyDescent="0.25">
      <c r="A7" s="2">
        <v>2.8000000000000001E-2</v>
      </c>
      <c r="B7" s="2">
        <v>0</v>
      </c>
      <c r="C7" s="2">
        <v>2.8000000000000001E-2</v>
      </c>
      <c r="D7" s="2">
        <v>0</v>
      </c>
      <c r="E7" s="2">
        <v>2.8000000000000001E-2</v>
      </c>
      <c r="F7" s="2">
        <v>0</v>
      </c>
      <c r="G7" s="2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f>SUM(G$2:$G7)</f>
        <v>0</v>
      </c>
    </row>
    <row r="8" spans="1:28" x14ac:dyDescent="0.25">
      <c r="A8" s="2">
        <v>3.3000000000000002E-2</v>
      </c>
      <c r="B8" s="2">
        <v>0</v>
      </c>
      <c r="C8" s="2">
        <v>3.3000000000000002E-2</v>
      </c>
      <c r="D8" s="2">
        <v>0</v>
      </c>
      <c r="E8" s="2">
        <v>3.3000000000000002E-2</v>
      </c>
      <c r="F8" s="2">
        <v>0</v>
      </c>
      <c r="G8" s="2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f>SUM(G$2:$G8)</f>
        <v>0</v>
      </c>
    </row>
    <row r="9" spans="1:28" x14ac:dyDescent="0.25">
      <c r="A9" s="2">
        <v>3.9E-2</v>
      </c>
      <c r="B9" s="2">
        <v>0</v>
      </c>
      <c r="C9" s="2">
        <v>3.9E-2</v>
      </c>
      <c r="D9" s="2">
        <v>0</v>
      </c>
      <c r="E9" s="2">
        <v>3.9E-2</v>
      </c>
      <c r="F9" s="2">
        <v>0</v>
      </c>
      <c r="G9" s="2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f>SUM(G$2:$G9)</f>
        <v>0</v>
      </c>
    </row>
    <row r="10" spans="1:28" x14ac:dyDescent="0.25">
      <c r="A10" s="2">
        <v>4.7E-2</v>
      </c>
      <c r="B10" s="2">
        <v>0</v>
      </c>
      <c r="C10" s="2">
        <v>4.7E-2</v>
      </c>
      <c r="D10" s="2">
        <v>0</v>
      </c>
      <c r="E10" s="2">
        <v>4.7E-2</v>
      </c>
      <c r="F10" s="2">
        <v>0</v>
      </c>
      <c r="G10" s="2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f>SUM(G$2:$G10)</f>
        <v>0</v>
      </c>
    </row>
    <row r="11" spans="1:28" x14ac:dyDescent="0.25">
      <c r="A11" s="2">
        <v>5.6000000000000001E-2</v>
      </c>
      <c r="B11" s="2">
        <v>0</v>
      </c>
      <c r="C11" s="2">
        <v>5.6000000000000001E-2</v>
      </c>
      <c r="D11" s="2">
        <v>0</v>
      </c>
      <c r="E11" s="2">
        <v>5.6000000000000001E-2</v>
      </c>
      <c r="F11" s="2">
        <v>0</v>
      </c>
      <c r="G11" s="2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f>SUM(G$2:$G11)</f>
        <v>0</v>
      </c>
    </row>
    <row r="12" spans="1:28" x14ac:dyDescent="0.25">
      <c r="A12" s="2">
        <v>6.6000000000000003E-2</v>
      </c>
      <c r="B12" s="2">
        <v>0</v>
      </c>
      <c r="C12" s="2">
        <v>6.6000000000000003E-2</v>
      </c>
      <c r="D12" s="2">
        <v>0</v>
      </c>
      <c r="E12" s="2">
        <v>6.6000000000000003E-2</v>
      </c>
      <c r="F12" s="2">
        <v>0</v>
      </c>
      <c r="G12" s="2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f>SUM(G$2:$G12)</f>
        <v>0</v>
      </c>
    </row>
    <row r="13" spans="1:28" x14ac:dyDescent="0.25">
      <c r="A13" s="2">
        <v>7.9000000000000001E-2</v>
      </c>
      <c r="B13" s="2">
        <v>0</v>
      </c>
      <c r="C13" s="2">
        <v>7.9000000000000001E-2</v>
      </c>
      <c r="D13" s="2">
        <v>0</v>
      </c>
      <c r="E13" s="2">
        <v>7.9000000000000001E-2</v>
      </c>
      <c r="F13" s="2">
        <v>0</v>
      </c>
      <c r="G13" s="2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f>SUM(G$2:$G13)</f>
        <v>0</v>
      </c>
    </row>
    <row r="14" spans="1:28" x14ac:dyDescent="0.25">
      <c r="A14" s="2">
        <v>9.4E-2</v>
      </c>
      <c r="B14" s="2">
        <v>0</v>
      </c>
      <c r="C14" s="2">
        <v>9.4E-2</v>
      </c>
      <c r="D14" s="2">
        <v>0</v>
      </c>
      <c r="E14" s="2">
        <v>9.4E-2</v>
      </c>
      <c r="F14" s="2">
        <v>0</v>
      </c>
      <c r="G14" s="2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f>SUM(G$2:$G14)</f>
        <v>0</v>
      </c>
    </row>
    <row r="15" spans="1:28" x14ac:dyDescent="0.25">
      <c r="A15" s="2">
        <v>0.112</v>
      </c>
      <c r="B15" s="2">
        <v>0</v>
      </c>
      <c r="C15" s="2">
        <v>0.112</v>
      </c>
      <c r="D15" s="2">
        <v>0</v>
      </c>
      <c r="E15" s="2">
        <v>0.112</v>
      </c>
      <c r="F15" s="2">
        <v>0</v>
      </c>
      <c r="G15" s="2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f>SUM(G$2:$G15)</f>
        <v>0</v>
      </c>
    </row>
    <row r="16" spans="1:28" x14ac:dyDescent="0.25">
      <c r="A16" s="2">
        <v>0.13300000000000001</v>
      </c>
      <c r="B16" s="2">
        <v>0</v>
      </c>
      <c r="C16" s="2">
        <v>0.13300000000000001</v>
      </c>
      <c r="D16" s="2">
        <v>0</v>
      </c>
      <c r="E16" s="2">
        <v>0.13300000000000001</v>
      </c>
      <c r="F16" s="2">
        <v>0</v>
      </c>
      <c r="G16" s="2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f>SUM(G$2:$G16)</f>
        <v>0</v>
      </c>
    </row>
    <row r="17" spans="1:26" x14ac:dyDescent="0.25">
      <c r="A17" s="2">
        <v>0.158</v>
      </c>
      <c r="B17" s="2">
        <v>0</v>
      </c>
      <c r="C17" s="2">
        <v>0.158</v>
      </c>
      <c r="D17" s="2">
        <v>0</v>
      </c>
      <c r="E17" s="2">
        <v>0.158</v>
      </c>
      <c r="F17" s="2">
        <v>0</v>
      </c>
      <c r="G17" s="2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f>SUM(G$2:$G17)</f>
        <v>0</v>
      </c>
    </row>
    <row r="18" spans="1:26" x14ac:dyDescent="0.25">
      <c r="A18" s="2">
        <v>0.187</v>
      </c>
      <c r="B18" s="2">
        <v>0</v>
      </c>
      <c r="C18" s="2">
        <v>0.187</v>
      </c>
      <c r="D18" s="2">
        <v>0</v>
      </c>
      <c r="E18" s="2">
        <v>0.187</v>
      </c>
      <c r="F18" s="2">
        <v>0</v>
      </c>
      <c r="G18" s="2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f>SUM(G$2:$G18)</f>
        <v>0</v>
      </c>
    </row>
    <row r="19" spans="1:26" x14ac:dyDescent="0.25">
      <c r="A19" s="2">
        <v>0.223</v>
      </c>
      <c r="B19" s="2">
        <v>0</v>
      </c>
      <c r="C19" s="2">
        <v>0.223</v>
      </c>
      <c r="D19" s="2">
        <v>0</v>
      </c>
      <c r="E19" s="2">
        <v>0.223</v>
      </c>
      <c r="F19" s="2">
        <v>0</v>
      </c>
      <c r="G19" s="2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f>SUM(G$2:$G19)</f>
        <v>0</v>
      </c>
    </row>
    <row r="20" spans="1:26" x14ac:dyDescent="0.25">
      <c r="A20" s="2">
        <v>0.26500000000000001</v>
      </c>
      <c r="B20" s="2">
        <v>0</v>
      </c>
      <c r="C20" s="2">
        <v>0.26500000000000001</v>
      </c>
      <c r="D20" s="2">
        <v>0</v>
      </c>
      <c r="E20" s="2">
        <v>0.26500000000000001</v>
      </c>
      <c r="F20" s="2">
        <v>0</v>
      </c>
      <c r="G20" s="2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f>SUM(G$2:$G20)</f>
        <v>0</v>
      </c>
    </row>
    <row r="21" spans="1:26" x14ac:dyDescent="0.25">
      <c r="A21" s="2">
        <v>0.315</v>
      </c>
      <c r="B21" s="2">
        <v>0</v>
      </c>
      <c r="C21" s="2">
        <v>0.315</v>
      </c>
      <c r="D21" s="2">
        <v>0</v>
      </c>
      <c r="E21" s="2">
        <v>0.315</v>
      </c>
      <c r="F21" s="2">
        <v>0</v>
      </c>
      <c r="G21" s="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f>SUM(G$2:$G21)</f>
        <v>0</v>
      </c>
    </row>
    <row r="22" spans="1:26" x14ac:dyDescent="0.25">
      <c r="A22" s="2">
        <v>0.375</v>
      </c>
      <c r="B22" s="2">
        <v>0</v>
      </c>
      <c r="C22" s="2">
        <v>0.375</v>
      </c>
      <c r="D22" s="2">
        <v>0</v>
      </c>
      <c r="E22" s="2">
        <v>0.375</v>
      </c>
      <c r="F22" s="2">
        <v>0</v>
      </c>
      <c r="G22" s="2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f>SUM(G$2:$G22)</f>
        <v>0</v>
      </c>
    </row>
    <row r="23" spans="1:26" x14ac:dyDescent="0.25">
      <c r="A23" s="2">
        <v>0.44600000000000001</v>
      </c>
      <c r="B23" s="2">
        <v>0</v>
      </c>
      <c r="C23" s="2">
        <v>0.44600000000000001</v>
      </c>
      <c r="D23" s="2">
        <v>0</v>
      </c>
      <c r="E23" s="2">
        <v>0.44600000000000001</v>
      </c>
      <c r="F23" s="2">
        <v>0</v>
      </c>
      <c r="G23" s="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f>SUM(G$2:$G23)</f>
        <v>0</v>
      </c>
    </row>
    <row r="24" spans="1:26" x14ac:dyDescent="0.25">
      <c r="A24" s="2">
        <v>0.53</v>
      </c>
      <c r="B24" s="2">
        <v>0</v>
      </c>
      <c r="C24" s="2">
        <v>0.53</v>
      </c>
      <c r="D24" s="2">
        <v>0</v>
      </c>
      <c r="E24" s="2">
        <v>0.53</v>
      </c>
      <c r="F24" s="2">
        <v>0</v>
      </c>
      <c r="G24" s="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f>SUM(G$2:$G24)</f>
        <v>0</v>
      </c>
    </row>
    <row r="25" spans="1:26" x14ac:dyDescent="0.25">
      <c r="A25" s="2">
        <v>0.63100000000000001</v>
      </c>
      <c r="B25" s="2">
        <v>0</v>
      </c>
      <c r="C25" s="2">
        <v>0.63100000000000001</v>
      </c>
      <c r="D25" s="2">
        <v>0</v>
      </c>
      <c r="E25" s="2">
        <v>0.63100000000000001</v>
      </c>
      <c r="F25" s="2">
        <v>0</v>
      </c>
      <c r="G25" s="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f>SUM(G$2:$G25)</f>
        <v>0</v>
      </c>
    </row>
    <row r="26" spans="1:26" x14ac:dyDescent="0.25">
      <c r="A26" s="2">
        <v>0.75</v>
      </c>
      <c r="B26" s="2">
        <v>0</v>
      </c>
      <c r="C26" s="2">
        <v>0.75</v>
      </c>
      <c r="D26" s="2">
        <v>0</v>
      </c>
      <c r="E26" s="2">
        <v>0.75</v>
      </c>
      <c r="F26" s="2">
        <v>0</v>
      </c>
      <c r="G26" s="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f>SUM(G$2:$G26)</f>
        <v>0</v>
      </c>
    </row>
    <row r="27" spans="1:26" x14ac:dyDescent="0.25">
      <c r="A27" s="2">
        <v>0.89100000000000001</v>
      </c>
      <c r="B27" s="2">
        <v>0</v>
      </c>
      <c r="C27" s="2">
        <v>0.89100000000000001</v>
      </c>
      <c r="D27" s="2">
        <v>0</v>
      </c>
      <c r="E27" s="2">
        <v>0.89100000000000001</v>
      </c>
      <c r="F27" s="2">
        <v>0</v>
      </c>
      <c r="G27" s="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f>SUM(G$2:$G27)</f>
        <v>0</v>
      </c>
    </row>
    <row r="28" spans="1:26" x14ac:dyDescent="0.25">
      <c r="A28" s="2">
        <v>1.06</v>
      </c>
      <c r="B28" s="2">
        <v>0</v>
      </c>
      <c r="C28" s="2">
        <v>1.06</v>
      </c>
      <c r="D28" s="2">
        <v>0</v>
      </c>
      <c r="E28" s="2">
        <v>1.06</v>
      </c>
      <c r="F28" s="2">
        <v>0</v>
      </c>
      <c r="G28" s="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f>SUM(G$2:$G28)</f>
        <v>0</v>
      </c>
    </row>
    <row r="29" spans="1:26" x14ac:dyDescent="0.25">
      <c r="A29" s="2">
        <v>1.2609999999999999</v>
      </c>
      <c r="B29" s="2">
        <v>0</v>
      </c>
      <c r="C29" s="2">
        <v>1.2609999999999999</v>
      </c>
      <c r="D29" s="2">
        <v>0</v>
      </c>
      <c r="E29" s="2">
        <v>1.2609999999999999</v>
      </c>
      <c r="F29" s="2">
        <v>0</v>
      </c>
      <c r="G29" s="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f>SUM(G$2:$G29)</f>
        <v>0</v>
      </c>
    </row>
    <row r="30" spans="1:26" x14ac:dyDescent="0.25">
      <c r="A30" s="2">
        <v>1.4990000000000001</v>
      </c>
      <c r="B30" s="2">
        <v>0</v>
      </c>
      <c r="C30" s="2">
        <v>1.4990000000000001</v>
      </c>
      <c r="D30" s="2">
        <v>0</v>
      </c>
      <c r="E30" s="2">
        <v>1.4990000000000001</v>
      </c>
      <c r="F30" s="2">
        <v>0</v>
      </c>
      <c r="G30" s="2">
        <f t="shared" si="0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f>SUM(G$2:$G30)</f>
        <v>0</v>
      </c>
    </row>
    <row r="31" spans="1:26" x14ac:dyDescent="0.25">
      <c r="A31" s="2">
        <v>1.784</v>
      </c>
      <c r="B31" s="2">
        <v>0</v>
      </c>
      <c r="C31" s="2">
        <v>1.784</v>
      </c>
      <c r="D31" s="2">
        <v>0</v>
      </c>
      <c r="E31" s="2">
        <v>1.784</v>
      </c>
      <c r="F31" s="2">
        <v>0</v>
      </c>
      <c r="G31" s="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f>SUM(G$2:$G31)</f>
        <v>0</v>
      </c>
    </row>
    <row r="32" spans="1:26" x14ac:dyDescent="0.25">
      <c r="A32" s="2">
        <v>2.121</v>
      </c>
      <c r="B32" s="2">
        <v>0</v>
      </c>
      <c r="C32" s="2">
        <v>2.121</v>
      </c>
      <c r="D32" s="2">
        <v>0</v>
      </c>
      <c r="E32" s="2">
        <v>2.121</v>
      </c>
      <c r="F32" s="2">
        <v>0</v>
      </c>
      <c r="G32" s="2">
        <f t="shared" si="0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f>SUM(G$2:$G32)</f>
        <v>0</v>
      </c>
    </row>
    <row r="33" spans="1:26" x14ac:dyDescent="0.25">
      <c r="A33" s="2">
        <v>2.5219999999999998</v>
      </c>
      <c r="B33" s="2">
        <v>0</v>
      </c>
      <c r="C33" s="2">
        <v>2.5219999999999998</v>
      </c>
      <c r="D33" s="2">
        <v>0</v>
      </c>
      <c r="E33" s="2">
        <v>2.5219999999999998</v>
      </c>
      <c r="F33" s="2">
        <v>0</v>
      </c>
      <c r="G33" s="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f>SUM(G$2:$G33)</f>
        <v>0</v>
      </c>
    </row>
    <row r="34" spans="1:26" x14ac:dyDescent="0.25">
      <c r="A34" s="2">
        <v>2.9990000000000001</v>
      </c>
      <c r="B34" s="2">
        <v>0</v>
      </c>
      <c r="C34" s="2">
        <v>2.9990000000000001</v>
      </c>
      <c r="D34" s="2">
        <v>0</v>
      </c>
      <c r="E34" s="2">
        <v>2.9990000000000001</v>
      </c>
      <c r="F34" s="2">
        <v>0</v>
      </c>
      <c r="G34" s="2">
        <f t="shared" si="0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f>SUM(G$2:$G34)</f>
        <v>0</v>
      </c>
    </row>
    <row r="35" spans="1:26" x14ac:dyDescent="0.25">
      <c r="A35" s="2">
        <v>3.5670000000000002</v>
      </c>
      <c r="B35" s="2">
        <v>0</v>
      </c>
      <c r="C35" s="2">
        <v>3.5670000000000002</v>
      </c>
      <c r="D35" s="2">
        <v>0</v>
      </c>
      <c r="E35" s="2">
        <v>3.5670000000000002</v>
      </c>
      <c r="F35" s="2">
        <v>0</v>
      </c>
      <c r="G35" s="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f>SUM(G$2:$G35)</f>
        <v>0</v>
      </c>
    </row>
    <row r="36" spans="1:26" x14ac:dyDescent="0.25">
      <c r="A36" s="2">
        <v>4.2460000000000004</v>
      </c>
      <c r="B36" s="2">
        <v>0</v>
      </c>
      <c r="C36" s="2">
        <v>4.2460000000000004</v>
      </c>
      <c r="D36" s="2">
        <v>0</v>
      </c>
      <c r="E36" s="2">
        <v>4.2460000000000004</v>
      </c>
      <c r="F36" s="2">
        <v>0</v>
      </c>
      <c r="G36" s="2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f>SUM(G$2:$G36)</f>
        <v>0</v>
      </c>
    </row>
    <row r="37" spans="1:26" x14ac:dyDescent="0.25">
      <c r="A37" s="2">
        <v>5.0439999999999996</v>
      </c>
      <c r="B37" s="2">
        <v>0</v>
      </c>
      <c r="C37" s="2">
        <v>5.0439999999999996</v>
      </c>
      <c r="D37" s="2">
        <v>0</v>
      </c>
      <c r="E37" s="2">
        <v>5.0439999999999996</v>
      </c>
      <c r="F37" s="2">
        <v>0</v>
      </c>
      <c r="G37" s="2">
        <f t="shared" si="0"/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f>SUM(G$2:$G37)</f>
        <v>0</v>
      </c>
    </row>
    <row r="38" spans="1:26" x14ac:dyDescent="0.25">
      <c r="A38" s="2">
        <v>5.9969999999999999</v>
      </c>
      <c r="B38" s="2">
        <v>0</v>
      </c>
      <c r="C38" s="2">
        <v>5.9969999999999999</v>
      </c>
      <c r="D38" s="2">
        <v>0</v>
      </c>
      <c r="E38" s="2">
        <v>5.9969999999999999</v>
      </c>
      <c r="F38" s="2">
        <v>0</v>
      </c>
      <c r="G38" s="2">
        <f t="shared" si="0"/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f>SUM(G$2:$G38)</f>
        <v>0</v>
      </c>
    </row>
    <row r="39" spans="1:26" x14ac:dyDescent="0.25">
      <c r="A39" s="2">
        <v>7.1340000000000003</v>
      </c>
      <c r="B39" s="2">
        <v>0</v>
      </c>
      <c r="C39" s="2">
        <v>7.1340000000000003</v>
      </c>
      <c r="D39" s="2">
        <v>0</v>
      </c>
      <c r="E39" s="2">
        <v>7.1340000000000003</v>
      </c>
      <c r="F39" s="2">
        <v>0</v>
      </c>
      <c r="G39" s="2">
        <f t="shared" si="0"/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f>SUM(G$2:$G39)</f>
        <v>0</v>
      </c>
    </row>
    <row r="40" spans="1:26" x14ac:dyDescent="0.25">
      <c r="A40" s="2">
        <v>8.4819999999999993</v>
      </c>
      <c r="B40" s="2">
        <v>0</v>
      </c>
      <c r="C40" s="2">
        <v>8.4819999999999993</v>
      </c>
      <c r="D40" s="2">
        <v>0</v>
      </c>
      <c r="E40" s="2">
        <v>8.4819999999999993</v>
      </c>
      <c r="F40" s="2">
        <v>0</v>
      </c>
      <c r="G40" s="2">
        <f t="shared" si="0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f>SUM(G$2:$G40)</f>
        <v>0</v>
      </c>
    </row>
    <row r="41" spans="1:26" x14ac:dyDescent="0.25">
      <c r="A41" s="2">
        <v>10.087</v>
      </c>
      <c r="B41" s="2">
        <v>0</v>
      </c>
      <c r="C41" s="2">
        <v>10.087</v>
      </c>
      <c r="D41" s="2">
        <v>0</v>
      </c>
      <c r="E41" s="2">
        <v>10.087</v>
      </c>
      <c r="F41" s="2">
        <v>0</v>
      </c>
      <c r="G41" s="2">
        <f t="shared" si="0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f>SUM(G$2:$G41)</f>
        <v>0</v>
      </c>
    </row>
    <row r="42" spans="1:26" x14ac:dyDescent="0.25">
      <c r="A42" s="2">
        <v>11.994</v>
      </c>
      <c r="B42" s="2">
        <v>0</v>
      </c>
      <c r="C42" s="2">
        <v>11.994</v>
      </c>
      <c r="D42" s="2">
        <v>0</v>
      </c>
      <c r="E42" s="2">
        <v>11.994</v>
      </c>
      <c r="F42" s="2">
        <v>0</v>
      </c>
      <c r="G42" s="2">
        <f t="shared" si="0"/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f>SUM(G$2:$G42)</f>
        <v>0</v>
      </c>
    </row>
    <row r="43" spans="1:26" x14ac:dyDescent="0.25">
      <c r="A43" s="2">
        <v>14.269</v>
      </c>
      <c r="B43" s="2">
        <v>0.87</v>
      </c>
      <c r="C43" s="2">
        <v>14.269</v>
      </c>
      <c r="D43" s="2">
        <v>0.85</v>
      </c>
      <c r="E43" s="2">
        <v>14.269</v>
      </c>
      <c r="F43" s="2">
        <v>0.84</v>
      </c>
      <c r="G43" s="2">
        <f t="shared" si="0"/>
        <v>0.85333333333333339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f>SUM(G$2:$G43)</f>
        <v>0.85333333333333339</v>
      </c>
    </row>
    <row r="44" spans="1:26" x14ac:dyDescent="0.25">
      <c r="A44" s="2">
        <v>16.965</v>
      </c>
      <c r="B44" s="2">
        <v>2.48</v>
      </c>
      <c r="C44" s="2">
        <v>16.965</v>
      </c>
      <c r="D44" s="2">
        <v>2.4300000000000002</v>
      </c>
      <c r="E44" s="2">
        <v>16.965</v>
      </c>
      <c r="F44" s="2">
        <v>2.4</v>
      </c>
      <c r="G44" s="2">
        <f t="shared" si="0"/>
        <v>2.436666666666667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f>SUM(G$2:$G44)</f>
        <v>3.2900000000000005</v>
      </c>
    </row>
    <row r="45" spans="1:26" x14ac:dyDescent="0.25">
      <c r="A45" s="2">
        <v>20.173999999999999</v>
      </c>
      <c r="B45" s="2">
        <v>5.91</v>
      </c>
      <c r="C45" s="2">
        <v>20.173999999999999</v>
      </c>
      <c r="D45" s="2">
        <v>5.81</v>
      </c>
      <c r="E45" s="2">
        <v>20.173999999999999</v>
      </c>
      <c r="F45" s="2">
        <v>5.75</v>
      </c>
      <c r="G45" s="2">
        <f t="shared" si="0"/>
        <v>5.8233333333333333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f>SUM(G$2:$G45)</f>
        <v>9.1133333333333333</v>
      </c>
    </row>
    <row r="46" spans="1:26" x14ac:dyDescent="0.25">
      <c r="A46" s="2">
        <v>23.989000000000001</v>
      </c>
      <c r="B46" s="2">
        <v>11.61</v>
      </c>
      <c r="C46" s="2">
        <v>23.989000000000001</v>
      </c>
      <c r="D46" s="2">
        <v>11.49</v>
      </c>
      <c r="E46" s="2">
        <v>23.989000000000001</v>
      </c>
      <c r="F46" s="2">
        <v>11.4</v>
      </c>
      <c r="G46" s="2">
        <f t="shared" si="0"/>
        <v>11.5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f>SUM(G$2:$G46)</f>
        <v>20.613333333333333</v>
      </c>
    </row>
    <row r="47" spans="1:26" x14ac:dyDescent="0.25">
      <c r="A47" s="2">
        <v>28.527999999999999</v>
      </c>
      <c r="B47" s="2">
        <v>18.329999999999998</v>
      </c>
      <c r="C47" s="2">
        <v>28.527999999999999</v>
      </c>
      <c r="D47" s="2">
        <v>18.309999999999999</v>
      </c>
      <c r="E47" s="2">
        <v>28.527999999999999</v>
      </c>
      <c r="F47" s="2">
        <v>18.29</v>
      </c>
      <c r="G47" s="2">
        <f t="shared" si="0"/>
        <v>18.309999999999999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f>SUM(G$2:$G47)</f>
        <v>38.923333333333332</v>
      </c>
    </row>
    <row r="48" spans="1:26" x14ac:dyDescent="0.25">
      <c r="A48" s="2">
        <v>33.929000000000002</v>
      </c>
      <c r="B48" s="2">
        <v>22.17</v>
      </c>
      <c r="C48" s="2">
        <v>33.929000000000002</v>
      </c>
      <c r="D48" s="2">
        <v>22.4</v>
      </c>
      <c r="E48" s="2">
        <v>33.929000000000002</v>
      </c>
      <c r="F48" s="2">
        <v>22.52</v>
      </c>
      <c r="G48" s="2">
        <f t="shared" si="0"/>
        <v>22.363333333333333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f>SUM(G$2:$G48)</f>
        <v>61.286666666666662</v>
      </c>
    </row>
    <row r="49" spans="1:26" x14ac:dyDescent="0.25">
      <c r="A49" s="2">
        <v>40.347999999999999</v>
      </c>
      <c r="B49" s="2">
        <v>19.559999999999999</v>
      </c>
      <c r="C49" s="2">
        <v>40.347999999999999</v>
      </c>
      <c r="D49" s="2">
        <v>19.82</v>
      </c>
      <c r="E49" s="2">
        <v>40.347999999999999</v>
      </c>
      <c r="F49" s="2">
        <v>20</v>
      </c>
      <c r="G49" s="2">
        <f t="shared" si="0"/>
        <v>19.793333333333333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f>SUM(G$2:$G49)</f>
        <v>81.08</v>
      </c>
    </row>
    <row r="50" spans="1:26" x14ac:dyDescent="0.25">
      <c r="A50" s="2">
        <v>47.987000000000002</v>
      </c>
      <c r="B50" s="2">
        <v>11.98</v>
      </c>
      <c r="C50" s="2">
        <v>47.987000000000002</v>
      </c>
      <c r="D50" s="2">
        <v>12.01</v>
      </c>
      <c r="E50" s="2">
        <v>47.987000000000002</v>
      </c>
      <c r="F50" s="2">
        <v>12.08</v>
      </c>
      <c r="G50" s="2">
        <f t="shared" si="0"/>
        <v>12.023333333333333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f>SUM(G$2:$G50)</f>
        <v>93.103333333333325</v>
      </c>
    </row>
    <row r="51" spans="1:26" x14ac:dyDescent="0.25">
      <c r="A51" s="2">
        <v>57.064999999999998</v>
      </c>
      <c r="B51" s="2">
        <v>4.93</v>
      </c>
      <c r="C51" s="2">
        <v>57.064999999999998</v>
      </c>
      <c r="D51" s="2">
        <v>4.8099999999999996</v>
      </c>
      <c r="E51" s="2">
        <v>57.064999999999998</v>
      </c>
      <c r="F51" s="2">
        <v>4.76</v>
      </c>
      <c r="G51" s="2">
        <f t="shared" si="0"/>
        <v>4.833333333333333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f>SUM(G$2:$G51)</f>
        <v>97.936666666666653</v>
      </c>
    </row>
    <row r="52" spans="1:26" x14ac:dyDescent="0.25">
      <c r="A52" s="2">
        <v>67.858000000000004</v>
      </c>
      <c r="B52" s="2">
        <v>1.67</v>
      </c>
      <c r="C52" s="2">
        <v>67.858000000000004</v>
      </c>
      <c r="D52" s="2">
        <v>1.59</v>
      </c>
      <c r="E52" s="2">
        <v>67.858000000000004</v>
      </c>
      <c r="F52" s="2">
        <v>1.53</v>
      </c>
      <c r="G52" s="2">
        <f t="shared" si="0"/>
        <v>1.5966666666666667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f>SUM(G$2:$G52)</f>
        <v>99.533333333333317</v>
      </c>
    </row>
    <row r="53" spans="1:26" x14ac:dyDescent="0.25">
      <c r="A53" s="2">
        <v>80.695999999999998</v>
      </c>
      <c r="B53" s="2">
        <v>0.49</v>
      </c>
      <c r="C53" s="2">
        <v>80.695999999999998</v>
      </c>
      <c r="D53" s="2">
        <v>0.48</v>
      </c>
      <c r="E53" s="2">
        <v>80.695999999999998</v>
      </c>
      <c r="F53" s="2">
        <v>0.43</v>
      </c>
      <c r="G53" s="2">
        <f t="shared" si="0"/>
        <v>0.46666666666666662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f>SUM(G$2:$G53)</f>
        <v>99.999999999999986</v>
      </c>
    </row>
    <row r="54" spans="1:26" x14ac:dyDescent="0.25">
      <c r="A54" s="2">
        <v>96.01</v>
      </c>
      <c r="B54" s="2">
        <v>0</v>
      </c>
      <c r="C54" s="2">
        <v>96.01</v>
      </c>
      <c r="D54" s="2">
        <v>0</v>
      </c>
      <c r="E54" s="2">
        <v>96.01</v>
      </c>
      <c r="F54" s="2">
        <v>0</v>
      </c>
      <c r="G54" s="2">
        <f t="shared" si="0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f>SUM(G$2:$G54)</f>
        <v>99.999999999999986</v>
      </c>
    </row>
    <row r="55" spans="1:26" x14ac:dyDescent="0.25">
      <c r="A55" s="2">
        <v>114.167</v>
      </c>
      <c r="B55" s="2">
        <v>0</v>
      </c>
      <c r="C55" s="2">
        <v>114.167</v>
      </c>
      <c r="D55" s="2">
        <v>0</v>
      </c>
      <c r="E55" s="2">
        <v>114.167</v>
      </c>
      <c r="F55" s="2">
        <v>0</v>
      </c>
      <c r="G55" s="2">
        <f t="shared" si="0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f>SUM(G$2:$G55)</f>
        <v>99.999999999999986</v>
      </c>
    </row>
    <row r="56" spans="1:26" x14ac:dyDescent="0.25">
      <c r="A56" s="2">
        <v>135.71700000000001</v>
      </c>
      <c r="B56" s="2">
        <v>0</v>
      </c>
      <c r="C56" s="2">
        <v>135.71700000000001</v>
      </c>
      <c r="D56" s="2">
        <v>0</v>
      </c>
      <c r="E56" s="2">
        <v>135.71700000000001</v>
      </c>
      <c r="F56" s="2">
        <v>0</v>
      </c>
      <c r="G56" s="2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f>SUM(G$2:$G56)</f>
        <v>99.999999999999986</v>
      </c>
    </row>
    <row r="57" spans="1:26" x14ac:dyDescent="0.25">
      <c r="A57" s="2">
        <v>161.393</v>
      </c>
      <c r="B57" s="2">
        <v>0</v>
      </c>
      <c r="C57" s="2">
        <v>161.393</v>
      </c>
      <c r="D57" s="2">
        <v>0</v>
      </c>
      <c r="E57" s="2">
        <v>161.393</v>
      </c>
      <c r="F57" s="2">
        <v>0</v>
      </c>
      <c r="G57" s="2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f>SUM(G$2:$G57)</f>
        <v>99.999999999999986</v>
      </c>
    </row>
    <row r="58" spans="1:26" x14ac:dyDescent="0.25">
      <c r="A58" s="2">
        <v>191.929</v>
      </c>
      <c r="B58" s="2">
        <v>0</v>
      </c>
      <c r="C58" s="2">
        <v>191.929</v>
      </c>
      <c r="D58" s="2">
        <v>0</v>
      </c>
      <c r="E58" s="2">
        <v>191.929</v>
      </c>
      <c r="F58" s="2">
        <v>0</v>
      </c>
      <c r="G58" s="2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f>SUM(G$2:$G58)</f>
        <v>99.999999999999986</v>
      </c>
    </row>
    <row r="59" spans="1:26" x14ac:dyDescent="0.25">
      <c r="A59" s="2">
        <v>228.24199999999999</v>
      </c>
      <c r="B59" s="2">
        <v>0</v>
      </c>
      <c r="C59" s="2">
        <v>228.24199999999999</v>
      </c>
      <c r="D59" s="2">
        <v>0</v>
      </c>
      <c r="E59" s="2">
        <v>228.24199999999999</v>
      </c>
      <c r="F59" s="2">
        <v>0</v>
      </c>
      <c r="G59" s="2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f>SUM(G$2:$G59)</f>
        <v>99.999999999999986</v>
      </c>
    </row>
    <row r="60" spans="1:26" x14ac:dyDescent="0.25">
      <c r="A60" s="2">
        <v>271.43299999999999</v>
      </c>
      <c r="B60" s="2">
        <v>0</v>
      </c>
      <c r="C60" s="2">
        <v>271.43299999999999</v>
      </c>
      <c r="D60" s="2">
        <v>0</v>
      </c>
      <c r="E60" s="2">
        <v>271.43299999999999</v>
      </c>
      <c r="F60" s="2">
        <v>0</v>
      </c>
      <c r="G60" s="2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f>SUM(G$2:$G60)</f>
        <v>99.999999999999986</v>
      </c>
    </row>
    <row r="61" spans="1:26" x14ac:dyDescent="0.25">
      <c r="A61" s="2">
        <v>322.78500000000003</v>
      </c>
      <c r="B61" s="2">
        <v>0</v>
      </c>
      <c r="C61" s="2">
        <v>322.78500000000003</v>
      </c>
      <c r="D61" s="2">
        <v>0</v>
      </c>
      <c r="E61" s="2">
        <v>322.78500000000003</v>
      </c>
      <c r="F61" s="2">
        <v>0</v>
      </c>
      <c r="G61" s="2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f>SUM(G$2:$G61)</f>
        <v>99.999999999999986</v>
      </c>
    </row>
    <row r="62" spans="1:26" x14ac:dyDescent="0.25">
      <c r="A62" s="2">
        <v>383.858</v>
      </c>
      <c r="B62" s="2">
        <v>0</v>
      </c>
      <c r="C62" s="2">
        <v>383.858</v>
      </c>
      <c r="D62" s="2">
        <v>0</v>
      </c>
      <c r="E62" s="2">
        <v>383.858</v>
      </c>
      <c r="F62" s="2">
        <v>0</v>
      </c>
      <c r="G62" s="2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f>SUM(G$2:$G62)</f>
        <v>99.999999999999986</v>
      </c>
    </row>
    <row r="63" spans="1:26" x14ac:dyDescent="0.25">
      <c r="A63" s="2">
        <v>456.48500000000001</v>
      </c>
      <c r="B63" s="2">
        <v>0</v>
      </c>
      <c r="C63" s="2">
        <v>456.48500000000001</v>
      </c>
      <c r="D63" s="2">
        <v>0</v>
      </c>
      <c r="E63" s="2">
        <v>456.48500000000001</v>
      </c>
      <c r="F63" s="2">
        <v>0</v>
      </c>
      <c r="G63" s="2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f>SUM(G$2:$G63)</f>
        <v>99.999999999999986</v>
      </c>
    </row>
    <row r="64" spans="1:26" x14ac:dyDescent="0.25">
      <c r="A64" s="2">
        <v>542.86599999999999</v>
      </c>
      <c r="B64" s="2">
        <v>0</v>
      </c>
      <c r="C64" s="2">
        <v>542.86599999999999</v>
      </c>
      <c r="D64" s="2">
        <v>0</v>
      </c>
      <c r="E64" s="2">
        <v>542.86599999999999</v>
      </c>
      <c r="F64" s="2">
        <v>0</v>
      </c>
      <c r="G64" s="2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f>SUM(G$2:$G64)</f>
        <v>99.999999999999986</v>
      </c>
    </row>
    <row r="65" spans="1:26" x14ac:dyDescent="0.25">
      <c r="A65" s="2">
        <v>645.57100000000003</v>
      </c>
      <c r="B65" s="2">
        <v>0</v>
      </c>
      <c r="C65" s="2">
        <v>645.57100000000003</v>
      </c>
      <c r="D65" s="2">
        <v>0</v>
      </c>
      <c r="E65" s="2">
        <v>645.57100000000003</v>
      </c>
      <c r="F65" s="2">
        <v>0</v>
      </c>
      <c r="G65" s="2">
        <f t="shared" si="0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f>SUM(G$2:$G65)</f>
        <v>99.999999999999986</v>
      </c>
    </row>
    <row r="66" spans="1:26" x14ac:dyDescent="0.25">
      <c r="A66" s="2">
        <v>767.71600000000001</v>
      </c>
      <c r="B66" s="2">
        <v>0</v>
      </c>
      <c r="C66" s="2">
        <v>767.71600000000001</v>
      </c>
      <c r="D66" s="2">
        <v>0</v>
      </c>
      <c r="E66" s="2">
        <v>767.71600000000001</v>
      </c>
      <c r="F66" s="2">
        <v>0</v>
      </c>
      <c r="G66" s="2">
        <f t="shared" si="0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f>SUM(G$2:$G66)</f>
        <v>99.999999999999986</v>
      </c>
    </row>
    <row r="67" spans="1:26" x14ac:dyDescent="0.25">
      <c r="A67" s="2">
        <v>912.96900000000005</v>
      </c>
      <c r="B67" s="2">
        <v>0</v>
      </c>
      <c r="C67" s="2">
        <v>912.96900000000005</v>
      </c>
      <c r="D67" s="2">
        <v>0</v>
      </c>
      <c r="E67" s="2">
        <v>912.96900000000005</v>
      </c>
      <c r="F67" s="2">
        <v>0</v>
      </c>
      <c r="G67" s="2">
        <f t="shared" ref="G67:G71" si="1">AVERAGE(B67,D67,F67)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f>SUM(G$2:$G67)</f>
        <v>99.999999999999986</v>
      </c>
    </row>
    <row r="68" spans="1:26" x14ac:dyDescent="0.25">
      <c r="A68" s="2">
        <v>1085.7329999999999</v>
      </c>
      <c r="B68" s="2">
        <v>0</v>
      </c>
      <c r="C68" s="3">
        <v>1085.7329999999999</v>
      </c>
      <c r="D68" s="2">
        <v>0</v>
      </c>
      <c r="E68" s="3">
        <v>1085.7329999999999</v>
      </c>
      <c r="F68" s="2">
        <v>0</v>
      </c>
      <c r="G68" s="2">
        <f t="shared" si="1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f>SUM(G$2:$G68)</f>
        <v>99.999999999999986</v>
      </c>
    </row>
    <row r="69" spans="1:26" x14ac:dyDescent="0.25">
      <c r="A69" s="2">
        <v>1291.1420000000001</v>
      </c>
      <c r="B69" s="2">
        <v>0</v>
      </c>
      <c r="C69" s="3">
        <v>1291.1420000000001</v>
      </c>
      <c r="D69" s="2">
        <v>0</v>
      </c>
      <c r="E69" s="3">
        <v>1291.1420000000001</v>
      </c>
      <c r="F69" s="2">
        <v>0</v>
      </c>
      <c r="G69" s="2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f>SUM(G$2:$G69)</f>
        <v>99.999999999999986</v>
      </c>
    </row>
    <row r="70" spans="1:26" x14ac:dyDescent="0.25">
      <c r="A70" s="2">
        <v>1535.0650000000001</v>
      </c>
      <c r="B70" s="2">
        <v>0</v>
      </c>
      <c r="C70" s="3">
        <v>1535.0650000000001</v>
      </c>
      <c r="D70" s="2">
        <v>0</v>
      </c>
      <c r="E70" s="3">
        <v>1535.0650000000001</v>
      </c>
      <c r="F70" s="2">
        <v>0</v>
      </c>
      <c r="G70" s="2">
        <f t="shared" si="1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f>SUM(G$2:$G70)</f>
        <v>99.999999999999986</v>
      </c>
    </row>
    <row r="71" spans="1:26" x14ac:dyDescent="0.25">
      <c r="A71" s="2">
        <v>1834.008</v>
      </c>
      <c r="B71" s="2">
        <v>0</v>
      </c>
      <c r="C71" s="3">
        <v>1834.008</v>
      </c>
      <c r="D71" s="2">
        <v>0</v>
      </c>
      <c r="E71" s="3">
        <v>1834.008</v>
      </c>
      <c r="F71" s="2">
        <v>0</v>
      </c>
      <c r="G71" s="2">
        <f t="shared" si="1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f>SUM(G$2:$G71)</f>
        <v>99.999999999999986</v>
      </c>
    </row>
  </sheetData>
  <pageMargins left="0.78740157499999996" right="0.78740157499999996" top="0.984251969" bottom="0.984251969" header="0.4921259845" footer="0.492125984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1"/>
  <sheetViews>
    <sheetView zoomScale="70" zoomScaleNormal="70" workbookViewId="0">
      <selection activeCell="AN31" sqref="AN31"/>
    </sheetView>
  </sheetViews>
  <sheetFormatPr baseColWidth="10" defaultRowHeight="15" x14ac:dyDescent="0.25"/>
  <cols>
    <col min="1" max="1" width="8" bestFit="1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6" customWidth="1"/>
    <col min="8" max="8" width="2" bestFit="1" customWidth="1"/>
    <col min="9" max="9" width="1.85546875" bestFit="1" customWidth="1"/>
    <col min="10" max="10" width="2" bestFit="1" customWidth="1"/>
    <col min="11" max="11" width="1.85546875" bestFit="1" customWidth="1"/>
    <col min="12" max="12" width="2" bestFit="1" customWidth="1"/>
    <col min="13" max="13" width="1.85546875" bestFit="1" customWidth="1"/>
    <col min="14" max="14" width="2" bestFit="1" customWidth="1"/>
    <col min="15" max="15" width="1.85546875" bestFit="1" customWidth="1"/>
    <col min="16" max="16" width="2" bestFit="1" customWidth="1"/>
    <col min="17" max="17" width="1.85546875" bestFit="1" customWidth="1"/>
    <col min="18" max="18" width="2" bestFit="1" customWidth="1"/>
    <col min="19" max="19" width="1.85546875" bestFit="1" customWidth="1"/>
    <col min="20" max="20" width="2" bestFit="1" customWidth="1"/>
    <col min="21" max="21" width="1.85546875" bestFit="1" customWidth="1"/>
    <col min="22" max="22" width="2" bestFit="1" customWidth="1"/>
    <col min="23" max="23" width="1.85546875" bestFit="1" customWidth="1"/>
    <col min="24" max="24" width="2" bestFit="1" customWidth="1"/>
    <col min="25" max="25" width="1.85546875" bestFit="1" customWidth="1"/>
    <col min="28" max="28" width="13.85546875" bestFit="1" customWidth="1"/>
  </cols>
  <sheetData>
    <row r="1" spans="1:28" ht="30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2</v>
      </c>
      <c r="H1" s="2" t="s">
        <v>0</v>
      </c>
      <c r="I1" s="2" t="s">
        <v>1</v>
      </c>
      <c r="J1" s="2" t="s">
        <v>0</v>
      </c>
      <c r="K1" s="2" t="s">
        <v>1</v>
      </c>
      <c r="L1" s="2" t="s">
        <v>0</v>
      </c>
      <c r="M1" s="2" t="s">
        <v>1</v>
      </c>
      <c r="N1" s="2" t="s">
        <v>0</v>
      </c>
      <c r="O1" s="2" t="s">
        <v>1</v>
      </c>
      <c r="P1" s="2" t="s">
        <v>0</v>
      </c>
      <c r="Q1" s="2" t="s">
        <v>1</v>
      </c>
      <c r="R1" s="2" t="s">
        <v>0</v>
      </c>
      <c r="S1" s="2" t="s">
        <v>1</v>
      </c>
      <c r="T1" s="2" t="s">
        <v>0</v>
      </c>
      <c r="U1" s="2" t="s">
        <v>1</v>
      </c>
      <c r="V1" s="2" t="s">
        <v>0</v>
      </c>
      <c r="W1" s="2" t="s">
        <v>1</v>
      </c>
      <c r="X1" s="2" t="s">
        <v>0</v>
      </c>
      <c r="Y1" s="2" t="s">
        <v>1</v>
      </c>
      <c r="Z1" s="6" t="s">
        <v>3</v>
      </c>
      <c r="AA1" s="9"/>
      <c r="AB1" s="10" t="s">
        <v>7</v>
      </c>
    </row>
    <row r="2" spans="1:28" x14ac:dyDescent="0.25">
      <c r="A2" s="2">
        <v>1.2E-2</v>
      </c>
      <c r="B2" s="2">
        <v>0</v>
      </c>
      <c r="C2" s="2">
        <v>1.2E-2</v>
      </c>
      <c r="D2" s="2">
        <v>0</v>
      </c>
      <c r="E2" s="2">
        <v>1.2E-2</v>
      </c>
      <c r="F2" s="2">
        <v>0</v>
      </c>
      <c r="G2" s="2">
        <f>AVERAGE(B2,D2,F2)</f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3" t="s">
        <v>4</v>
      </c>
      <c r="AB2" s="11">
        <f>E44+(10-Z44)*(E45-E44)/(Z45-Z44)</f>
        <v>20.119371224601867</v>
      </c>
    </row>
    <row r="3" spans="1:28" x14ac:dyDescent="0.25">
      <c r="A3" s="2">
        <v>1.4E-2</v>
      </c>
      <c r="B3" s="2">
        <v>0</v>
      </c>
      <c r="C3" s="2">
        <v>1.4E-2</v>
      </c>
      <c r="D3" s="2">
        <v>0</v>
      </c>
      <c r="E3" s="2">
        <v>1.4E-2</v>
      </c>
      <c r="F3" s="2">
        <v>0</v>
      </c>
      <c r="G3" s="2">
        <f t="shared" ref="G3:G66" si="0">AVERAGE(B3,D3,F3)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f>SUM(G$2:$G3)</f>
        <v>0</v>
      </c>
      <c r="AA3" s="12" t="s">
        <v>5</v>
      </c>
      <c r="AB3" s="11">
        <f>E47+(50-Z47)*(E48-E47)/(Z48-Z47)</f>
        <v>31.793804666666666</v>
      </c>
    </row>
    <row r="4" spans="1:28" x14ac:dyDescent="0.25">
      <c r="A4" s="2">
        <v>1.7000000000000001E-2</v>
      </c>
      <c r="B4" s="2">
        <v>0</v>
      </c>
      <c r="C4" s="2">
        <v>1.7000000000000001E-2</v>
      </c>
      <c r="D4" s="2">
        <v>0</v>
      </c>
      <c r="E4" s="2">
        <v>1.7000000000000001E-2</v>
      </c>
      <c r="F4" s="2">
        <v>0</v>
      </c>
      <c r="G4" s="2">
        <f t="shared" si="0"/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f>SUM(G$2:$G4)</f>
        <v>0</v>
      </c>
      <c r="AA4" s="12" t="s">
        <v>6</v>
      </c>
      <c r="AB4" s="11">
        <f>E50+(90-Z50)*(E51-E50)/(Z51-Z50)</f>
        <v>48.644497502497508</v>
      </c>
    </row>
    <row r="5" spans="1:28" x14ac:dyDescent="0.25">
      <c r="A5" s="2">
        <v>0.02</v>
      </c>
      <c r="B5" s="2">
        <v>0</v>
      </c>
      <c r="C5" s="2">
        <v>0.02</v>
      </c>
      <c r="D5" s="2">
        <v>0</v>
      </c>
      <c r="E5" s="2">
        <v>0.02</v>
      </c>
      <c r="F5" s="2">
        <v>0</v>
      </c>
      <c r="G5" s="2">
        <f t="shared" si="0"/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f>SUM(G$2:$G5)</f>
        <v>0</v>
      </c>
    </row>
    <row r="6" spans="1:28" x14ac:dyDescent="0.25">
      <c r="A6" s="2">
        <v>2.3E-2</v>
      </c>
      <c r="B6" s="2">
        <v>0</v>
      </c>
      <c r="C6" s="2">
        <v>2.3E-2</v>
      </c>
      <c r="D6" s="2">
        <v>0</v>
      </c>
      <c r="E6" s="2">
        <v>2.3E-2</v>
      </c>
      <c r="F6" s="2">
        <v>0</v>
      </c>
      <c r="G6" s="2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f>SUM(G$2:$G6)</f>
        <v>0</v>
      </c>
    </row>
    <row r="7" spans="1:28" x14ac:dyDescent="0.25">
      <c r="A7" s="2">
        <v>2.8000000000000001E-2</v>
      </c>
      <c r="B7" s="2">
        <v>0</v>
      </c>
      <c r="C7" s="2">
        <v>2.8000000000000001E-2</v>
      </c>
      <c r="D7" s="2">
        <v>0</v>
      </c>
      <c r="E7" s="2">
        <v>2.8000000000000001E-2</v>
      </c>
      <c r="F7" s="2">
        <v>0</v>
      </c>
      <c r="G7" s="2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f>SUM(G$2:$G7)</f>
        <v>0</v>
      </c>
    </row>
    <row r="8" spans="1:28" x14ac:dyDescent="0.25">
      <c r="A8" s="2">
        <v>3.3000000000000002E-2</v>
      </c>
      <c r="B8" s="2">
        <v>0</v>
      </c>
      <c r="C8" s="2">
        <v>3.3000000000000002E-2</v>
      </c>
      <c r="D8" s="2">
        <v>0</v>
      </c>
      <c r="E8" s="2">
        <v>3.3000000000000002E-2</v>
      </c>
      <c r="F8" s="2">
        <v>0</v>
      </c>
      <c r="G8" s="2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f>SUM(G$2:$G8)</f>
        <v>0</v>
      </c>
    </row>
    <row r="9" spans="1:28" x14ac:dyDescent="0.25">
      <c r="A9" s="2">
        <v>3.9E-2</v>
      </c>
      <c r="B9" s="2">
        <v>0</v>
      </c>
      <c r="C9" s="2">
        <v>3.9E-2</v>
      </c>
      <c r="D9" s="2">
        <v>0</v>
      </c>
      <c r="E9" s="2">
        <v>3.9E-2</v>
      </c>
      <c r="F9" s="2">
        <v>0</v>
      </c>
      <c r="G9" s="2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f>SUM(G$2:$G9)</f>
        <v>0</v>
      </c>
    </row>
    <row r="10" spans="1:28" x14ac:dyDescent="0.25">
      <c r="A10" s="2">
        <v>4.7E-2</v>
      </c>
      <c r="B10" s="2">
        <v>0</v>
      </c>
      <c r="C10" s="2">
        <v>4.7E-2</v>
      </c>
      <c r="D10" s="2">
        <v>0</v>
      </c>
      <c r="E10" s="2">
        <v>4.7E-2</v>
      </c>
      <c r="F10" s="2">
        <v>0</v>
      </c>
      <c r="G10" s="2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f>SUM(G$2:$G10)</f>
        <v>0</v>
      </c>
    </row>
    <row r="11" spans="1:28" x14ac:dyDescent="0.25">
      <c r="A11" s="2">
        <v>5.6000000000000001E-2</v>
      </c>
      <c r="B11" s="2">
        <v>0</v>
      </c>
      <c r="C11" s="2">
        <v>5.6000000000000001E-2</v>
      </c>
      <c r="D11" s="2">
        <v>0</v>
      </c>
      <c r="E11" s="2">
        <v>5.6000000000000001E-2</v>
      </c>
      <c r="F11" s="2">
        <v>0</v>
      </c>
      <c r="G11" s="2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f>SUM(G$2:$G11)</f>
        <v>0</v>
      </c>
    </row>
    <row r="12" spans="1:28" x14ac:dyDescent="0.25">
      <c r="A12" s="2">
        <v>6.6000000000000003E-2</v>
      </c>
      <c r="B12" s="2">
        <v>0</v>
      </c>
      <c r="C12" s="2">
        <v>6.6000000000000003E-2</v>
      </c>
      <c r="D12" s="2">
        <v>0</v>
      </c>
      <c r="E12" s="2">
        <v>6.6000000000000003E-2</v>
      </c>
      <c r="F12" s="2">
        <v>0</v>
      </c>
      <c r="G12" s="2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f>SUM(G$2:$G12)</f>
        <v>0</v>
      </c>
    </row>
    <row r="13" spans="1:28" x14ac:dyDescent="0.25">
      <c r="A13" s="2">
        <v>7.9000000000000001E-2</v>
      </c>
      <c r="B13" s="2">
        <v>0</v>
      </c>
      <c r="C13" s="2">
        <v>7.9000000000000001E-2</v>
      </c>
      <c r="D13" s="2">
        <v>0</v>
      </c>
      <c r="E13" s="2">
        <v>7.9000000000000001E-2</v>
      </c>
      <c r="F13" s="2">
        <v>0</v>
      </c>
      <c r="G13" s="2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f>SUM(G$2:$G13)</f>
        <v>0</v>
      </c>
    </row>
    <row r="14" spans="1:28" x14ac:dyDescent="0.25">
      <c r="A14" s="2">
        <v>9.4E-2</v>
      </c>
      <c r="B14" s="2">
        <v>0</v>
      </c>
      <c r="C14" s="2">
        <v>9.4E-2</v>
      </c>
      <c r="D14" s="2">
        <v>0</v>
      </c>
      <c r="E14" s="2">
        <v>9.4E-2</v>
      </c>
      <c r="F14" s="2">
        <v>0</v>
      </c>
      <c r="G14" s="2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f>SUM(G$2:$G14)</f>
        <v>0</v>
      </c>
    </row>
    <row r="15" spans="1:28" x14ac:dyDescent="0.25">
      <c r="A15" s="2">
        <v>0.112</v>
      </c>
      <c r="B15" s="2">
        <v>0</v>
      </c>
      <c r="C15" s="2">
        <v>0.112</v>
      </c>
      <c r="D15" s="2">
        <v>0</v>
      </c>
      <c r="E15" s="2">
        <v>0.112</v>
      </c>
      <c r="F15" s="2">
        <v>0</v>
      </c>
      <c r="G15" s="2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f>SUM(G$2:$G15)</f>
        <v>0</v>
      </c>
    </row>
    <row r="16" spans="1:28" x14ac:dyDescent="0.25">
      <c r="A16" s="2">
        <v>0.13300000000000001</v>
      </c>
      <c r="B16" s="2">
        <v>0</v>
      </c>
      <c r="C16" s="2">
        <v>0.13300000000000001</v>
      </c>
      <c r="D16" s="2">
        <v>0</v>
      </c>
      <c r="E16" s="2">
        <v>0.13300000000000001</v>
      </c>
      <c r="F16" s="2">
        <v>0</v>
      </c>
      <c r="G16" s="2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f>SUM(G$2:$G16)</f>
        <v>0</v>
      </c>
    </row>
    <row r="17" spans="1:26" x14ac:dyDescent="0.25">
      <c r="A17" s="2">
        <v>0.158</v>
      </c>
      <c r="B17" s="2">
        <v>0</v>
      </c>
      <c r="C17" s="2">
        <v>0.158</v>
      </c>
      <c r="D17" s="2">
        <v>0</v>
      </c>
      <c r="E17" s="2">
        <v>0.158</v>
      </c>
      <c r="F17" s="2">
        <v>0</v>
      </c>
      <c r="G17" s="2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f>SUM(G$2:$G17)</f>
        <v>0</v>
      </c>
    </row>
    <row r="18" spans="1:26" x14ac:dyDescent="0.25">
      <c r="A18" s="2">
        <v>0.187</v>
      </c>
      <c r="B18" s="2">
        <v>0</v>
      </c>
      <c r="C18" s="2">
        <v>0.187</v>
      </c>
      <c r="D18" s="2">
        <v>0</v>
      </c>
      <c r="E18" s="2">
        <v>0.187</v>
      </c>
      <c r="F18" s="2">
        <v>0</v>
      </c>
      <c r="G18" s="2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f>SUM(G$2:$G18)</f>
        <v>0</v>
      </c>
    </row>
    <row r="19" spans="1:26" x14ac:dyDescent="0.25">
      <c r="A19" s="2">
        <v>0.223</v>
      </c>
      <c r="B19" s="2">
        <v>0</v>
      </c>
      <c r="C19" s="2">
        <v>0.223</v>
      </c>
      <c r="D19" s="2">
        <v>0</v>
      </c>
      <c r="E19" s="2">
        <v>0.223</v>
      </c>
      <c r="F19" s="2">
        <v>0</v>
      </c>
      <c r="G19" s="2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f>SUM(G$2:$G19)</f>
        <v>0</v>
      </c>
    </row>
    <row r="20" spans="1:26" x14ac:dyDescent="0.25">
      <c r="A20" s="2">
        <v>0.26500000000000001</v>
      </c>
      <c r="B20" s="2">
        <v>0</v>
      </c>
      <c r="C20" s="2">
        <v>0.26500000000000001</v>
      </c>
      <c r="D20" s="2">
        <v>0</v>
      </c>
      <c r="E20" s="2">
        <v>0.26500000000000001</v>
      </c>
      <c r="F20" s="2">
        <v>0</v>
      </c>
      <c r="G20" s="2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f>SUM(G$2:$G20)</f>
        <v>0</v>
      </c>
    </row>
    <row r="21" spans="1:26" x14ac:dyDescent="0.25">
      <c r="A21" s="2">
        <v>0.315</v>
      </c>
      <c r="B21" s="2">
        <v>0</v>
      </c>
      <c r="C21" s="2">
        <v>0.315</v>
      </c>
      <c r="D21" s="2">
        <v>0</v>
      </c>
      <c r="E21" s="2">
        <v>0.315</v>
      </c>
      <c r="F21" s="2">
        <v>0</v>
      </c>
      <c r="G21" s="2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f>SUM(G$2:$G21)</f>
        <v>0</v>
      </c>
    </row>
    <row r="22" spans="1:26" x14ac:dyDescent="0.25">
      <c r="A22" s="2">
        <v>0.375</v>
      </c>
      <c r="B22" s="2">
        <v>0</v>
      </c>
      <c r="C22" s="2">
        <v>0.375</v>
      </c>
      <c r="D22" s="2">
        <v>0</v>
      </c>
      <c r="E22" s="2">
        <v>0.375</v>
      </c>
      <c r="F22" s="2">
        <v>0</v>
      </c>
      <c r="G22" s="2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f>SUM(G$2:$G22)</f>
        <v>0</v>
      </c>
    </row>
    <row r="23" spans="1:26" x14ac:dyDescent="0.25">
      <c r="A23" s="2">
        <v>0.44600000000000001</v>
      </c>
      <c r="B23" s="2">
        <v>0</v>
      </c>
      <c r="C23" s="2">
        <v>0.44600000000000001</v>
      </c>
      <c r="D23" s="2">
        <v>0</v>
      </c>
      <c r="E23" s="2">
        <v>0.44600000000000001</v>
      </c>
      <c r="F23" s="2">
        <v>0</v>
      </c>
      <c r="G23" s="2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f>SUM(G$2:$G23)</f>
        <v>0</v>
      </c>
    </row>
    <row r="24" spans="1:26" x14ac:dyDescent="0.25">
      <c r="A24" s="2">
        <v>0.53</v>
      </c>
      <c r="B24" s="2">
        <v>0</v>
      </c>
      <c r="C24" s="2">
        <v>0.53</v>
      </c>
      <c r="D24" s="2">
        <v>0</v>
      </c>
      <c r="E24" s="2">
        <v>0.53</v>
      </c>
      <c r="F24" s="2">
        <v>0</v>
      </c>
      <c r="G24" s="2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f>SUM(G$2:$G24)</f>
        <v>0</v>
      </c>
    </row>
    <row r="25" spans="1:26" x14ac:dyDescent="0.25">
      <c r="A25" s="2">
        <v>0.63100000000000001</v>
      </c>
      <c r="B25" s="2">
        <v>0</v>
      </c>
      <c r="C25" s="2">
        <v>0.63100000000000001</v>
      </c>
      <c r="D25" s="2">
        <v>0</v>
      </c>
      <c r="E25" s="2">
        <v>0.63100000000000001</v>
      </c>
      <c r="F25" s="2">
        <v>0</v>
      </c>
      <c r="G25" s="2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f>SUM(G$2:$G25)</f>
        <v>0</v>
      </c>
    </row>
    <row r="26" spans="1:26" x14ac:dyDescent="0.25">
      <c r="A26" s="2">
        <v>0.75</v>
      </c>
      <c r="B26" s="2">
        <v>0</v>
      </c>
      <c r="C26" s="2">
        <v>0.75</v>
      </c>
      <c r="D26" s="2">
        <v>0</v>
      </c>
      <c r="E26" s="2">
        <v>0.75</v>
      </c>
      <c r="F26" s="2">
        <v>0</v>
      </c>
      <c r="G26" s="2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f>SUM(G$2:$G26)</f>
        <v>0</v>
      </c>
    </row>
    <row r="27" spans="1:26" x14ac:dyDescent="0.25">
      <c r="A27" s="2">
        <v>0.89100000000000001</v>
      </c>
      <c r="B27" s="2">
        <v>0</v>
      </c>
      <c r="C27" s="2">
        <v>0.89100000000000001</v>
      </c>
      <c r="D27" s="2">
        <v>0</v>
      </c>
      <c r="E27" s="2">
        <v>0.89100000000000001</v>
      </c>
      <c r="F27" s="2">
        <v>0</v>
      </c>
      <c r="G27" s="2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f>SUM(G$2:$G27)</f>
        <v>0</v>
      </c>
    </row>
    <row r="28" spans="1:26" x14ac:dyDescent="0.25">
      <c r="A28" s="2">
        <v>1.06</v>
      </c>
      <c r="B28" s="2">
        <v>0</v>
      </c>
      <c r="C28" s="2">
        <v>1.06</v>
      </c>
      <c r="D28" s="2">
        <v>0</v>
      </c>
      <c r="E28" s="2">
        <v>1.06</v>
      </c>
      <c r="F28" s="2">
        <v>0</v>
      </c>
      <c r="G28" s="2">
        <f t="shared" si="0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f>SUM(G$2:$G28)</f>
        <v>0</v>
      </c>
    </row>
    <row r="29" spans="1:26" x14ac:dyDescent="0.25">
      <c r="A29" s="2">
        <v>1.2609999999999999</v>
      </c>
      <c r="B29" s="2">
        <v>0</v>
      </c>
      <c r="C29" s="2">
        <v>1.2609999999999999</v>
      </c>
      <c r="D29" s="2">
        <v>0</v>
      </c>
      <c r="E29" s="2">
        <v>1.2609999999999999</v>
      </c>
      <c r="F29" s="2">
        <v>0</v>
      </c>
      <c r="G29" s="2">
        <f t="shared" si="0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f>SUM(G$2:$G29)</f>
        <v>0</v>
      </c>
    </row>
    <row r="30" spans="1:26" x14ac:dyDescent="0.25">
      <c r="A30" s="2">
        <v>1.4990000000000001</v>
      </c>
      <c r="B30" s="2">
        <v>0</v>
      </c>
      <c r="C30" s="2">
        <v>1.4990000000000001</v>
      </c>
      <c r="D30" s="2">
        <v>0</v>
      </c>
      <c r="E30" s="2">
        <v>1.4990000000000001</v>
      </c>
      <c r="F30" s="2">
        <v>0</v>
      </c>
      <c r="G30" s="2">
        <f t="shared" si="0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f>SUM(G$2:$G30)</f>
        <v>0</v>
      </c>
    </row>
    <row r="31" spans="1:26" x14ac:dyDescent="0.25">
      <c r="A31" s="2">
        <v>1.784</v>
      </c>
      <c r="B31" s="2">
        <v>0</v>
      </c>
      <c r="C31" s="2">
        <v>1.784</v>
      </c>
      <c r="D31" s="2">
        <v>0</v>
      </c>
      <c r="E31" s="2">
        <v>1.784</v>
      </c>
      <c r="F31" s="2">
        <v>0</v>
      </c>
      <c r="G31" s="2">
        <f t="shared" si="0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f>SUM(G$2:$G31)</f>
        <v>0</v>
      </c>
    </row>
    <row r="32" spans="1:26" x14ac:dyDescent="0.25">
      <c r="A32" s="2">
        <v>2.121</v>
      </c>
      <c r="B32" s="2">
        <v>0</v>
      </c>
      <c r="C32" s="2">
        <v>2.121</v>
      </c>
      <c r="D32" s="2">
        <v>0</v>
      </c>
      <c r="E32" s="2">
        <v>2.121</v>
      </c>
      <c r="F32" s="2">
        <v>0</v>
      </c>
      <c r="G32" s="2">
        <f t="shared" si="0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f>SUM(G$2:$G32)</f>
        <v>0</v>
      </c>
    </row>
    <row r="33" spans="1:26" x14ac:dyDescent="0.25">
      <c r="A33" s="2">
        <v>2.5219999999999998</v>
      </c>
      <c r="B33" s="2">
        <v>0</v>
      </c>
      <c r="C33" s="2">
        <v>2.5219999999999998</v>
      </c>
      <c r="D33" s="2">
        <v>0</v>
      </c>
      <c r="E33" s="2">
        <v>2.5219999999999998</v>
      </c>
      <c r="F33" s="2">
        <v>0</v>
      </c>
      <c r="G33" s="2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f>SUM(G$2:$G33)</f>
        <v>0</v>
      </c>
    </row>
    <row r="34" spans="1:26" x14ac:dyDescent="0.25">
      <c r="A34" s="2">
        <v>2.9990000000000001</v>
      </c>
      <c r="B34" s="2">
        <v>0</v>
      </c>
      <c r="C34" s="2">
        <v>2.9990000000000001</v>
      </c>
      <c r="D34" s="2">
        <v>0</v>
      </c>
      <c r="E34" s="2">
        <v>2.9990000000000001</v>
      </c>
      <c r="F34" s="2">
        <v>0</v>
      </c>
      <c r="G34" s="2">
        <f t="shared" si="0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f>SUM(G$2:$G34)</f>
        <v>0</v>
      </c>
    </row>
    <row r="35" spans="1:26" x14ac:dyDescent="0.25">
      <c r="A35" s="2">
        <v>3.5670000000000002</v>
      </c>
      <c r="B35" s="2">
        <v>0</v>
      </c>
      <c r="C35" s="2">
        <v>3.5670000000000002</v>
      </c>
      <c r="D35" s="2">
        <v>0</v>
      </c>
      <c r="E35" s="2">
        <v>3.5670000000000002</v>
      </c>
      <c r="F35" s="2">
        <v>0</v>
      </c>
      <c r="G35" s="2">
        <f t="shared" si="0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f>SUM(G$2:$G35)</f>
        <v>0</v>
      </c>
    </row>
    <row r="36" spans="1:26" x14ac:dyDescent="0.25">
      <c r="A36" s="2">
        <v>4.2460000000000004</v>
      </c>
      <c r="B36" s="2">
        <v>0</v>
      </c>
      <c r="C36" s="2">
        <v>4.2460000000000004</v>
      </c>
      <c r="D36" s="2">
        <v>0</v>
      </c>
      <c r="E36" s="2">
        <v>4.2460000000000004</v>
      </c>
      <c r="F36" s="2">
        <v>0</v>
      </c>
      <c r="G36" s="2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f>SUM(G$2:$G36)</f>
        <v>0</v>
      </c>
    </row>
    <row r="37" spans="1:26" x14ac:dyDescent="0.25">
      <c r="A37" s="2">
        <v>5.0439999999999996</v>
      </c>
      <c r="B37" s="2">
        <v>0</v>
      </c>
      <c r="C37" s="2">
        <v>5.0439999999999996</v>
      </c>
      <c r="D37" s="2">
        <v>0</v>
      </c>
      <c r="E37" s="2">
        <v>5.0439999999999996</v>
      </c>
      <c r="F37" s="2">
        <v>0</v>
      </c>
      <c r="G37" s="2">
        <f t="shared" si="0"/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f>SUM(G$2:$G37)</f>
        <v>0</v>
      </c>
    </row>
    <row r="38" spans="1:26" x14ac:dyDescent="0.25">
      <c r="A38" s="2">
        <v>5.9969999999999999</v>
      </c>
      <c r="B38" s="2">
        <v>0</v>
      </c>
      <c r="C38" s="2">
        <v>5.9969999999999999</v>
      </c>
      <c r="D38" s="2">
        <v>0</v>
      </c>
      <c r="E38" s="2">
        <v>5.9969999999999999</v>
      </c>
      <c r="F38" s="2">
        <v>0</v>
      </c>
      <c r="G38" s="2">
        <f t="shared" si="0"/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f>SUM(G$2:$G38)</f>
        <v>0</v>
      </c>
    </row>
    <row r="39" spans="1:26" x14ac:dyDescent="0.25">
      <c r="A39" s="2">
        <v>7.1340000000000003</v>
      </c>
      <c r="B39" s="2">
        <v>0</v>
      </c>
      <c r="C39" s="2">
        <v>7.1340000000000003</v>
      </c>
      <c r="D39" s="2">
        <v>0</v>
      </c>
      <c r="E39" s="2">
        <v>7.1340000000000003</v>
      </c>
      <c r="F39" s="2">
        <v>0</v>
      </c>
      <c r="G39" s="2">
        <f t="shared" si="0"/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f>SUM(G$2:$G39)</f>
        <v>0</v>
      </c>
    </row>
    <row r="40" spans="1:26" x14ac:dyDescent="0.25">
      <c r="A40" s="2">
        <v>8.4819999999999993</v>
      </c>
      <c r="B40" s="2">
        <v>0</v>
      </c>
      <c r="C40" s="2">
        <v>8.4819999999999993</v>
      </c>
      <c r="D40" s="2">
        <v>0</v>
      </c>
      <c r="E40" s="2">
        <v>8.4819999999999993</v>
      </c>
      <c r="F40" s="2">
        <v>0</v>
      </c>
      <c r="G40" s="2">
        <f t="shared" si="0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f>SUM(G$2:$G40)</f>
        <v>0</v>
      </c>
    </row>
    <row r="41" spans="1:26" x14ac:dyDescent="0.25">
      <c r="A41" s="2">
        <v>10.087</v>
      </c>
      <c r="B41" s="2">
        <v>0</v>
      </c>
      <c r="C41" s="2">
        <v>10.087</v>
      </c>
      <c r="D41" s="2">
        <v>0</v>
      </c>
      <c r="E41" s="2">
        <v>10.087</v>
      </c>
      <c r="F41" s="2">
        <v>0</v>
      </c>
      <c r="G41" s="2">
        <f t="shared" si="0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f>SUM(G$2:$G41)</f>
        <v>0</v>
      </c>
    </row>
    <row r="42" spans="1:26" x14ac:dyDescent="0.25">
      <c r="A42" s="2">
        <v>11.994</v>
      </c>
      <c r="B42" s="2">
        <v>0</v>
      </c>
      <c r="C42" s="2">
        <v>11.994</v>
      </c>
      <c r="D42" s="2">
        <v>0.38</v>
      </c>
      <c r="E42" s="2">
        <v>11.994</v>
      </c>
      <c r="F42" s="2">
        <v>0.37</v>
      </c>
      <c r="G42" s="2">
        <f>AVERAGE(B42,D42,F42)</f>
        <v>0.25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f>SUM(G$2:$G42)</f>
        <v>0.25</v>
      </c>
    </row>
    <row r="43" spans="1:26" x14ac:dyDescent="0.25">
      <c r="A43" s="2">
        <v>14.269</v>
      </c>
      <c r="B43" s="2">
        <v>0.96</v>
      </c>
      <c r="C43" s="2">
        <v>14.269</v>
      </c>
      <c r="D43" s="2">
        <v>1.0900000000000001</v>
      </c>
      <c r="E43" s="2">
        <v>14.269</v>
      </c>
      <c r="F43" s="2">
        <v>1.07</v>
      </c>
      <c r="G43" s="2">
        <f t="shared" si="0"/>
        <v>1.04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f>SUM(G$2:$G43)</f>
        <v>1.29</v>
      </c>
    </row>
    <row r="44" spans="1:26" x14ac:dyDescent="0.25">
      <c r="A44" s="2">
        <v>16.965</v>
      </c>
      <c r="B44" s="2">
        <v>2.84</v>
      </c>
      <c r="C44" s="2">
        <v>16.965</v>
      </c>
      <c r="D44" s="2">
        <v>2.71</v>
      </c>
      <c r="E44" s="2">
        <v>16.965</v>
      </c>
      <c r="F44" s="2">
        <v>2.68</v>
      </c>
      <c r="G44" s="2">
        <f t="shared" si="0"/>
        <v>2.7433333333333336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f>SUM(G$2:$G44)</f>
        <v>4.0333333333333332</v>
      </c>
    </row>
    <row r="45" spans="1:26" x14ac:dyDescent="0.25">
      <c r="A45" s="2">
        <v>20.173999999999999</v>
      </c>
      <c r="B45" s="2">
        <v>6.6</v>
      </c>
      <c r="C45" s="2">
        <v>20.173999999999999</v>
      </c>
      <c r="D45" s="2">
        <v>5.84</v>
      </c>
      <c r="E45" s="2">
        <v>20.173999999999999</v>
      </c>
      <c r="F45" s="2">
        <v>5.77</v>
      </c>
      <c r="G45" s="2">
        <f t="shared" si="0"/>
        <v>6.07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f>SUM(G$2:$G45)</f>
        <v>10.103333333333333</v>
      </c>
    </row>
    <row r="46" spans="1:26" x14ac:dyDescent="0.25">
      <c r="A46" s="2">
        <v>23.989000000000001</v>
      </c>
      <c r="B46" s="2">
        <v>12.07</v>
      </c>
      <c r="C46" s="2">
        <v>23.989000000000001</v>
      </c>
      <c r="D46" s="2">
        <v>10.69</v>
      </c>
      <c r="E46" s="2">
        <v>23.989000000000001</v>
      </c>
      <c r="F46" s="2">
        <v>10.61</v>
      </c>
      <c r="G46" s="2">
        <f t="shared" si="0"/>
        <v>11.123333333333333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f>SUM(G$2:$G46)</f>
        <v>21.226666666666667</v>
      </c>
    </row>
    <row r="47" spans="1:26" x14ac:dyDescent="0.25">
      <c r="A47" s="2">
        <v>28.527999999999999</v>
      </c>
      <c r="B47" s="2">
        <v>17.34</v>
      </c>
      <c r="C47" s="2">
        <v>28.527999999999999</v>
      </c>
      <c r="D47" s="2">
        <v>16.37</v>
      </c>
      <c r="E47" s="2">
        <v>28.527999999999999</v>
      </c>
      <c r="F47" s="2">
        <v>16.329999999999998</v>
      </c>
      <c r="G47" s="2">
        <f t="shared" si="0"/>
        <v>16.68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f>SUM(G$2:$G47)</f>
        <v>37.906666666666666</v>
      </c>
    </row>
    <row r="48" spans="1:26" x14ac:dyDescent="0.25">
      <c r="A48" s="2">
        <v>33.929000000000002</v>
      </c>
      <c r="B48" s="2">
        <v>19.55</v>
      </c>
      <c r="C48" s="2">
        <v>33.929000000000002</v>
      </c>
      <c r="D48" s="2">
        <v>20.18</v>
      </c>
      <c r="E48" s="2">
        <v>33.929000000000002</v>
      </c>
      <c r="F48" s="2">
        <v>20.27</v>
      </c>
      <c r="G48" s="2">
        <f t="shared" si="0"/>
        <v>20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f>SUM(G$2:$G48)</f>
        <v>57.906666666666666</v>
      </c>
    </row>
    <row r="49" spans="1:26" x14ac:dyDescent="0.25">
      <c r="A49" s="2">
        <v>40.347999999999999</v>
      </c>
      <c r="B49" s="2">
        <v>17.34</v>
      </c>
      <c r="C49" s="2">
        <v>40.347999999999999</v>
      </c>
      <c r="D49" s="2">
        <v>19.149999999999999</v>
      </c>
      <c r="E49" s="2">
        <v>40.347999999999999</v>
      </c>
      <c r="F49" s="2">
        <v>19.329999999999998</v>
      </c>
      <c r="G49" s="2">
        <f t="shared" si="0"/>
        <v>18.606666666666666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f>SUM(G$2:$G49)</f>
        <v>76.513333333333335</v>
      </c>
    </row>
    <row r="50" spans="1:26" x14ac:dyDescent="0.25">
      <c r="A50" s="2">
        <v>47.987000000000002</v>
      </c>
      <c r="B50" s="2">
        <v>12.09</v>
      </c>
      <c r="C50" s="2">
        <v>47.987000000000002</v>
      </c>
      <c r="D50" s="2">
        <v>13.41</v>
      </c>
      <c r="E50" s="2">
        <v>47.987000000000002</v>
      </c>
      <c r="F50" s="2">
        <v>13.51</v>
      </c>
      <c r="G50" s="2">
        <f t="shared" si="0"/>
        <v>13.003333333333332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f>SUM(G$2:$G50)</f>
        <v>89.516666666666666</v>
      </c>
    </row>
    <row r="51" spans="1:26" x14ac:dyDescent="0.25">
      <c r="A51" s="2">
        <v>57.064999999999998</v>
      </c>
      <c r="B51" s="2">
        <v>6.63</v>
      </c>
      <c r="C51" s="2">
        <v>57.064999999999998</v>
      </c>
      <c r="D51" s="2">
        <v>6.71</v>
      </c>
      <c r="E51" s="2">
        <v>57.064999999999998</v>
      </c>
      <c r="F51" s="2">
        <v>6.68</v>
      </c>
      <c r="G51" s="2">
        <f t="shared" si="0"/>
        <v>6.6733333333333329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f>SUM(G$2:$G51)</f>
        <v>96.19</v>
      </c>
    </row>
    <row r="52" spans="1:26" x14ac:dyDescent="0.25">
      <c r="A52" s="2">
        <v>67.858000000000004</v>
      </c>
      <c r="B52" s="2">
        <v>3.12</v>
      </c>
      <c r="C52" s="2">
        <v>67.858000000000004</v>
      </c>
      <c r="D52" s="2">
        <v>2.68</v>
      </c>
      <c r="E52" s="2">
        <v>67.858000000000004</v>
      </c>
      <c r="F52" s="2">
        <v>2.62</v>
      </c>
      <c r="G52" s="2">
        <f t="shared" si="0"/>
        <v>2.8066666666666671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f>SUM(G$2:$G52)</f>
        <v>98.99666666666667</v>
      </c>
    </row>
    <row r="53" spans="1:26" x14ac:dyDescent="0.25">
      <c r="A53" s="2">
        <v>80.695999999999998</v>
      </c>
      <c r="B53" s="2">
        <v>1.1299999999999999</v>
      </c>
      <c r="C53" s="2">
        <v>80.695999999999998</v>
      </c>
      <c r="D53" s="2">
        <v>0.79</v>
      </c>
      <c r="E53" s="2">
        <v>80.695999999999998</v>
      </c>
      <c r="F53" s="2">
        <v>0.76</v>
      </c>
      <c r="G53" s="2">
        <f t="shared" si="0"/>
        <v>0.8933333333333332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f>SUM(G$2:$G53)</f>
        <v>99.89</v>
      </c>
    </row>
    <row r="54" spans="1:26" x14ac:dyDescent="0.25">
      <c r="A54" s="2">
        <v>96.01</v>
      </c>
      <c r="B54" s="2">
        <v>0.33</v>
      </c>
      <c r="C54" s="2">
        <v>96.01</v>
      </c>
      <c r="D54" s="2">
        <v>0</v>
      </c>
      <c r="E54" s="2">
        <v>96.01</v>
      </c>
      <c r="F54" s="2">
        <v>0</v>
      </c>
      <c r="G54" s="2">
        <f t="shared" si="0"/>
        <v>0.11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f>SUM(G$2:$G54)</f>
        <v>100</v>
      </c>
    </row>
    <row r="55" spans="1:26" x14ac:dyDescent="0.25">
      <c r="A55" s="2">
        <v>114.167</v>
      </c>
      <c r="B55" s="2">
        <v>0</v>
      </c>
      <c r="C55" s="2">
        <v>114.167</v>
      </c>
      <c r="D55" s="2">
        <v>0</v>
      </c>
      <c r="E55" s="2">
        <v>114.167</v>
      </c>
      <c r="F55" s="2">
        <v>0</v>
      </c>
      <c r="G55" s="2">
        <f t="shared" si="0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f>SUM(G$2:$G55)</f>
        <v>100</v>
      </c>
    </row>
    <row r="56" spans="1:26" x14ac:dyDescent="0.25">
      <c r="A56" s="2">
        <v>135.71700000000001</v>
      </c>
      <c r="B56" s="2">
        <v>0</v>
      </c>
      <c r="C56" s="2">
        <v>135.71700000000001</v>
      </c>
      <c r="D56" s="2">
        <v>0</v>
      </c>
      <c r="E56" s="2">
        <v>135.71700000000001</v>
      </c>
      <c r="F56" s="2">
        <v>0</v>
      </c>
      <c r="G56" s="2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f>SUM(G$2:$G56)</f>
        <v>100</v>
      </c>
    </row>
    <row r="57" spans="1:26" x14ac:dyDescent="0.25">
      <c r="A57" s="2">
        <v>161.393</v>
      </c>
      <c r="B57" s="2">
        <v>0</v>
      </c>
      <c r="C57" s="2">
        <v>161.393</v>
      </c>
      <c r="D57" s="2">
        <v>0</v>
      </c>
      <c r="E57" s="2">
        <v>161.393</v>
      </c>
      <c r="F57" s="2">
        <v>0</v>
      </c>
      <c r="G57" s="2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f>SUM(G$2:$G57)</f>
        <v>100</v>
      </c>
    </row>
    <row r="58" spans="1:26" x14ac:dyDescent="0.25">
      <c r="A58" s="2">
        <v>191.929</v>
      </c>
      <c r="B58" s="2">
        <v>0</v>
      </c>
      <c r="C58" s="2">
        <v>191.929</v>
      </c>
      <c r="D58" s="2">
        <v>0</v>
      </c>
      <c r="E58" s="2">
        <v>191.929</v>
      </c>
      <c r="F58" s="2">
        <v>0</v>
      </c>
      <c r="G58" s="2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f>SUM(G$2:$G58)</f>
        <v>100</v>
      </c>
    </row>
    <row r="59" spans="1:26" x14ac:dyDescent="0.25">
      <c r="A59" s="2">
        <v>228.24199999999999</v>
      </c>
      <c r="B59" s="2">
        <v>0</v>
      </c>
      <c r="C59" s="2">
        <v>228.24199999999999</v>
      </c>
      <c r="D59" s="2">
        <v>0</v>
      </c>
      <c r="E59" s="2">
        <v>228.24199999999999</v>
      </c>
      <c r="F59" s="2">
        <v>0</v>
      </c>
      <c r="G59" s="2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f>SUM(G$2:$G59)</f>
        <v>100</v>
      </c>
    </row>
    <row r="60" spans="1:26" x14ac:dyDescent="0.25">
      <c r="A60" s="2">
        <v>271.43299999999999</v>
      </c>
      <c r="B60" s="2">
        <v>0</v>
      </c>
      <c r="C60" s="2">
        <v>271.43299999999999</v>
      </c>
      <c r="D60" s="2">
        <v>0</v>
      </c>
      <c r="E60" s="2">
        <v>271.43299999999999</v>
      </c>
      <c r="F60" s="2">
        <v>0</v>
      </c>
      <c r="G60" s="2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f>SUM(G$2:$G60)</f>
        <v>100</v>
      </c>
    </row>
    <row r="61" spans="1:26" x14ac:dyDescent="0.25">
      <c r="A61" s="2">
        <v>322.78500000000003</v>
      </c>
      <c r="B61" s="2">
        <v>0</v>
      </c>
      <c r="C61" s="2">
        <v>322.78500000000003</v>
      </c>
      <c r="D61" s="2">
        <v>0</v>
      </c>
      <c r="E61" s="2">
        <v>322.78500000000003</v>
      </c>
      <c r="F61" s="2">
        <v>0</v>
      </c>
      <c r="G61" s="2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f>SUM(G$2:$G61)</f>
        <v>100</v>
      </c>
    </row>
    <row r="62" spans="1:26" x14ac:dyDescent="0.25">
      <c r="A62" s="2">
        <v>383.858</v>
      </c>
      <c r="B62" s="2">
        <v>0</v>
      </c>
      <c r="C62" s="2">
        <v>383.858</v>
      </c>
      <c r="D62" s="2">
        <v>0</v>
      </c>
      <c r="E62" s="2">
        <v>383.858</v>
      </c>
      <c r="F62" s="2">
        <v>0</v>
      </c>
      <c r="G62" s="2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f>SUM(G$2:$G62)</f>
        <v>100</v>
      </c>
    </row>
    <row r="63" spans="1:26" x14ac:dyDescent="0.25">
      <c r="A63" s="2">
        <v>456.48500000000001</v>
      </c>
      <c r="B63" s="2">
        <v>0</v>
      </c>
      <c r="C63" s="2">
        <v>456.48500000000001</v>
      </c>
      <c r="D63" s="2">
        <v>0</v>
      </c>
      <c r="E63" s="2">
        <v>456.48500000000001</v>
      </c>
      <c r="F63" s="2">
        <v>0</v>
      </c>
      <c r="G63" s="2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f>SUM(G$2:$G63)</f>
        <v>100</v>
      </c>
    </row>
    <row r="64" spans="1:26" x14ac:dyDescent="0.25">
      <c r="A64" s="2">
        <v>542.86599999999999</v>
      </c>
      <c r="B64" s="2">
        <v>0</v>
      </c>
      <c r="C64" s="2">
        <v>542.86599999999999</v>
      </c>
      <c r="D64" s="2">
        <v>0</v>
      </c>
      <c r="E64" s="2">
        <v>542.86599999999999</v>
      </c>
      <c r="F64" s="2">
        <v>0</v>
      </c>
      <c r="G64" s="2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f>SUM(G$2:$G64)</f>
        <v>100</v>
      </c>
    </row>
    <row r="65" spans="1:26" x14ac:dyDescent="0.25">
      <c r="A65" s="2">
        <v>645.57100000000003</v>
      </c>
      <c r="B65" s="2">
        <v>0</v>
      </c>
      <c r="C65" s="2">
        <v>645.57100000000003</v>
      </c>
      <c r="D65" s="2">
        <v>0</v>
      </c>
      <c r="E65" s="2">
        <v>645.57100000000003</v>
      </c>
      <c r="F65" s="2">
        <v>0</v>
      </c>
      <c r="G65" s="2">
        <f t="shared" si="0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f>SUM(G$2:$G65)</f>
        <v>100</v>
      </c>
    </row>
    <row r="66" spans="1:26" x14ac:dyDescent="0.25">
      <c r="A66" s="2">
        <v>767.71600000000001</v>
      </c>
      <c r="B66" s="2">
        <v>0</v>
      </c>
      <c r="C66" s="2">
        <v>767.71600000000001</v>
      </c>
      <c r="D66" s="2">
        <v>0</v>
      </c>
      <c r="E66" s="2">
        <v>767.71600000000001</v>
      </c>
      <c r="F66" s="2">
        <v>0</v>
      </c>
      <c r="G66" s="2">
        <f t="shared" si="0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f>SUM(G$2:$G66)</f>
        <v>100</v>
      </c>
    </row>
    <row r="67" spans="1:26" x14ac:dyDescent="0.25">
      <c r="A67" s="2">
        <v>912.96900000000005</v>
      </c>
      <c r="B67" s="2">
        <v>0</v>
      </c>
      <c r="C67" s="2">
        <v>912.96900000000005</v>
      </c>
      <c r="D67" s="2">
        <v>0</v>
      </c>
      <c r="E67" s="2">
        <v>912.96900000000005</v>
      </c>
      <c r="F67" s="2">
        <v>0</v>
      </c>
      <c r="G67" s="2">
        <f t="shared" ref="G67:G71" si="1">AVERAGE(B67,D67,F67)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f>SUM(G$2:$G67)</f>
        <v>100</v>
      </c>
    </row>
    <row r="68" spans="1:26" x14ac:dyDescent="0.25">
      <c r="A68" s="3">
        <v>1085.7329999999999</v>
      </c>
      <c r="B68" s="2">
        <v>0</v>
      </c>
      <c r="C68" s="3">
        <v>1085.7329999999999</v>
      </c>
      <c r="D68" s="2">
        <v>0</v>
      </c>
      <c r="E68" s="3">
        <v>1085.7329999999999</v>
      </c>
      <c r="F68" s="2">
        <v>0</v>
      </c>
      <c r="G68" s="2">
        <f t="shared" si="1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f>SUM(G$2:$G68)</f>
        <v>100</v>
      </c>
    </row>
    <row r="69" spans="1:26" x14ac:dyDescent="0.25">
      <c r="A69" s="3">
        <v>1291.1420000000001</v>
      </c>
      <c r="B69" s="2">
        <v>0</v>
      </c>
      <c r="C69" s="3">
        <v>1291.1420000000001</v>
      </c>
      <c r="D69" s="2">
        <v>0</v>
      </c>
      <c r="E69" s="3">
        <v>1291.1420000000001</v>
      </c>
      <c r="F69" s="2">
        <v>0</v>
      </c>
      <c r="G69" s="2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f>SUM(G$2:$G69)</f>
        <v>100</v>
      </c>
    </row>
    <row r="70" spans="1:26" x14ac:dyDescent="0.25">
      <c r="A70" s="3">
        <v>1535.0650000000001</v>
      </c>
      <c r="B70" s="2">
        <v>0</v>
      </c>
      <c r="C70" s="3">
        <v>1535.0650000000001</v>
      </c>
      <c r="D70" s="2">
        <v>0</v>
      </c>
      <c r="E70" s="3">
        <v>1535.0650000000001</v>
      </c>
      <c r="F70" s="2">
        <v>0</v>
      </c>
      <c r="G70" s="2">
        <f t="shared" si="1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f>SUM(G$2:$G70)</f>
        <v>100</v>
      </c>
    </row>
    <row r="71" spans="1:26" x14ac:dyDescent="0.25">
      <c r="A71" s="3">
        <v>1834.008</v>
      </c>
      <c r="B71" s="2">
        <v>0</v>
      </c>
      <c r="C71" s="3">
        <v>1834.008</v>
      </c>
      <c r="D71" s="2">
        <v>0</v>
      </c>
      <c r="E71" s="3">
        <v>1834.008</v>
      </c>
      <c r="F71" s="2">
        <v>0</v>
      </c>
      <c r="G71" s="2">
        <f t="shared" si="1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f>SUM(G$2:$G71)</f>
        <v>100</v>
      </c>
    </row>
  </sheetData>
  <pageMargins left="0.78740157499999996" right="0.78740157499999996" top="0.984251969" bottom="0.984251969" header="0.4921259845" footer="0.492125984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Cu</vt:lpstr>
      <vt:lpstr>Ti64</vt:lpstr>
      <vt:lpstr>Ti64+10Cu</vt:lpstr>
      <vt:lpstr>Ti64+15Cu</vt:lpstr>
      <vt:lpstr>Ti64+20Cu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Thiemo Benthien</dc:creator>
  <cp:lastModifiedBy>Anna Strauch</cp:lastModifiedBy>
  <dcterms:created xsi:type="dcterms:W3CDTF">2024-07-08T10:43:38Z</dcterms:created>
  <dcterms:modified xsi:type="dcterms:W3CDTF">2025-09-02T08:40:50Z</dcterms:modified>
</cp:coreProperties>
</file>